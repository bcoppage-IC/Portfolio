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cop\OneDrive\Desktop\SNHU\ECO 306B\FINAL PROJECT\"/>
    </mc:Choice>
  </mc:AlternateContent>
  <xr:revisionPtr revIDLastSave="0" documentId="13_ncr:1_{1DFD8145-1888-4D25-B05E-A7EFC486E7EC}" xr6:coauthVersionLast="47" xr6:coauthVersionMax="47" xr10:uidLastSave="{00000000-0000-0000-0000-000000000000}"/>
  <bookViews>
    <workbookView xWindow="34452" yWindow="-9228" windowWidth="17496" windowHeight="30936" activeTab="0" xr2:uid="{82B7E07A-F02D-465A-8F30-287143496FAF}"/>
  </bookViews>
  <sheets>
    <sheet name="About" sheetId="9" r:id="rId20"/>
    <sheet name="Inflation" sheetId="1" r:id="rId1"/>
    <sheet name="GDP_Growth" sheetId="4" r:id="rId2"/>
    <sheet name="Saving_Rate" sheetId="5" r:id="rId3"/>
    <sheet name="Household_Debt" sheetId="6" r:id="rId4"/>
    <sheet name="Policy_Rates" sheetId="3" r:id="rId5"/>
    <sheet name="Unemployment" sheetId="2" r:id="rId6"/>
    <sheet name="Rates_Inflation_Lagged" sheetId="7" r:id="rId7"/>
    <sheet name="Household_Pane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<sst xmlns="http://schemas.openxmlformats.org/spreadsheetml/2006/main" count="69" uniqueCount="62">
  <si>
    <t>observation_date</t>
  </si>
  <si>
    <t>U.S. Unemployment Rate (%)</t>
  </si>
  <si>
    <t>Euro Area Unemployment Rate (%)</t>
  </si>
  <si>
    <t>Fed funds rate (%) [FEDFUNDS]</t>
  </si>
  <si>
    <t>ECB MRO rate (%) [ECBMRRFR]</t>
  </si>
  <si>
    <t>U.S. Real GDP Growth (% YoY)</t>
  </si>
  <si>
    <t>Euro Area Real GDP Growth (% YoY)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</si>
  <si>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</si>
  <si>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</si>
  <si>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</si>
  <si>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</si>
  <si>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</si>
  <si>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</si>
  <si>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</si>
  <si>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</si>
  <si>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</si>
  <si>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</si>
  <si>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</si>
  <si>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</si>
  <si>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</si>
  <si>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</si>
  <si>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</si>
  <si>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</si>
  <si>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</si>
  <si>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</si>
  <si>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</si>
  <si>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</si>
  <si>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</si>
  <si>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</si>
  <si>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</si>
  <si>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</si>
  <si>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</si>
  <si>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</si>
  <si>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</si>
  <si>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</si>
  <si>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</si>
  <si>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</si>
  <si>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</si>
  <si>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</si>
  <si>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</si>
  <si>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</si>
  <si>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</si>
  <si>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</si>
  <si>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</si>
  <si>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</si>
  <si>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</si>
  <si>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</si>
  <si>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</si>
  <si>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</si>
  <si>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QUARTER</t>
  </si>
  <si>
    <t>IND</t>
  </si>
  <si>
    <t>Fed funds rate (lagged 12 mo.)</t>
  </si>
  <si>
    <t>ECB MRO rate (lagged 12 mo.)</t>
  </si>
  <si>
    <t>CPI (YoY %)</t>
  </si>
  <si>
    <t>HICP (YoY %)</t>
  </si>
  <si>
    <t>U.S. Household Debt‑to‑GDP</t>
  </si>
  <si>
    <t>Euro Area Household Debt‑to‑GDP</t>
  </si>
  <si>
    <t>U.S. Household Saving Rate (%)</t>
  </si>
  <si>
    <t>Euro Area Household Saving Rate (%)</t>
  </si>
  <si>
    <t>Target_2%</t>
  </si>
  <si>
    <t>U.S. Inflation (CPI, YoY %)</t>
  </si>
  <si>
    <t>Euro Area Inflation (HICP, YoY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</si>
</sst>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" fillId="0" borderId="0" xfId="1" applyNumberFormat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1" fillId="2" borderId="0" xfId="1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2" fillId="0" borderId="0" xfId="0" applyFont="1" applyAlignment="1">
      <alignment vertical="top" wrapText="1"/>
    </xf>
    <xf numFmtId="0" fontId="3" fillId="0" borderId="0" xfId="0" applyFont="1"/>
    <xf numFmtId="0" fontId="0" fillId="0" borderId="0" xfId="0" applyAlignment="1">
      <alignment vertical="top" wrapText="1"/>
    </xf>
  </cellXfs>
  <cellStyles count="2">
    <cellStyle name="Normal" xfId="0" builtinId="0"/>
    <cellStyle name="Normal 2" xfId="1" xr:uid="{176C22FB-4550-45D9-9E2D-C91D5EEACC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20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Headline Success: Inflation Back to 2%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Inflation!$B$1</c:f>
              <c:strCache>
                <c:ptCount val="1"/>
                <c:pt idx="0">
                  <c:v>U.S. Inflation (CPI, YoY %)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Inflation!$A$2:$A$129</c:f>
              <c:numCache>
                <c:formatCode>m/d/yyyy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Inflation!$B$2:$B$129</c:f>
              <c:numCache>
                <c:formatCode>0.000</c:formatCode>
                <c:ptCount val="128"/>
                <c:pt idx="0">
                  <c:v>-0.22993</c:v>
                </c:pt>
                <c:pt idx="1">
                  <c:v>-0.08703</c:v>
                </c:pt>
                <c:pt idx="2">
                  <c:v>-0.02203</c:v>
                </c:pt>
                <c:pt idx="3">
                  <c:v>-0.10403</c:v>
                </c:pt>
                <c:pt idx="4">
                  <c:v>0.03503</c:v>
                </c:pt>
                <c:pt idx="5">
                  <c:v>0.17957</c:v>
                </c:pt>
                <c:pt idx="6">
                  <c:v>0.22569</c:v>
                </c:pt>
                <c:pt idx="7">
                  <c:v>0.2413</c:v>
                </c:pt>
                <c:pt idx="8">
                  <c:v>0.00884</c:v>
                </c:pt>
                <c:pt idx="9">
                  <c:v>0.12762</c:v>
                </c:pt>
                <c:pt idx="10">
                  <c:v>0.43632</c:v>
                </c:pt>
                <c:pt idx="11">
                  <c:v>0.63872</c:v>
                </c:pt>
                <c:pt idx="12">
                  <c:v>1.2375</c:v>
                </c:pt>
                <c:pt idx="13">
                  <c:v>0.84728</c:v>
                </c:pt>
                <c:pt idx="14">
                  <c:v>0.89162</c:v>
                </c:pt>
                <c:pt idx="15">
                  <c:v>1.17263</c:v>
                </c:pt>
                <c:pt idx="16">
                  <c:v>1.07848</c:v>
                </c:pt>
                <c:pt idx="17">
                  <c:v>1.07929</c:v>
                </c:pt>
                <c:pt idx="18">
                  <c:v>0.86836</c:v>
                </c:pt>
                <c:pt idx="19">
                  <c:v>1.05532</c:v>
                </c:pt>
                <c:pt idx="20">
                  <c:v>1.54864</c:v>
                </c:pt>
                <c:pt idx="21">
                  <c:v>1.68592</c:v>
                </c:pt>
                <c:pt idx="22">
                  <c:v>1.68433</c:v>
                </c:pt>
                <c:pt idx="23">
                  <c:v>2.0508</c:v>
                </c:pt>
                <c:pt idx="24">
                  <c:v>2.51039</c:v>
                </c:pt>
                <c:pt idx="25">
                  <c:v>2.81036</c:v>
                </c:pt>
                <c:pt idx="26">
                  <c:v>2.4412</c:v>
                </c:pt>
                <c:pt idx="27">
                  <c:v>2.17622</c:v>
                </c:pt>
                <c:pt idx="28">
                  <c:v>1.85634</c:v>
                </c:pt>
                <c:pt idx="29">
                  <c:v>1.64057</c:v>
                </c:pt>
                <c:pt idx="30">
                  <c:v>1.72511</c:v>
                </c:pt>
                <c:pt idx="31">
                  <c:v>1.92812</c:v>
                </c:pt>
                <c:pt idx="32">
                  <c:v>2.18057</c:v>
                </c:pt>
                <c:pt idx="33">
                  <c:v>2.02076</c:v>
                </c:pt>
                <c:pt idx="34">
                  <c:v>2.17249</c:v>
                </c:pt>
                <c:pt idx="35">
                  <c:v>2.12993</c:v>
                </c:pt>
                <c:pt idx="36">
                  <c:v>2.15132</c:v>
                </c:pt>
                <c:pt idx="37">
                  <c:v>2.26347</c:v>
                </c:pt>
                <c:pt idx="38">
                  <c:v>2.33095</c:v>
                </c:pt>
                <c:pt idx="39">
                  <c:v>2.471</c:v>
                </c:pt>
                <c:pt idx="40">
                  <c:v>2.78192</c:v>
                </c:pt>
                <c:pt idx="41">
                  <c:v>2.80755</c:v>
                </c:pt>
                <c:pt idx="42">
                  <c:v>2.85412</c:v>
                </c:pt>
                <c:pt idx="43">
                  <c:v>2.64292</c:v>
                </c:pt>
                <c:pt idx="44">
                  <c:v>2.33206</c:v>
                </c:pt>
                <c:pt idx="45">
                  <c:v>2.49203</c:v>
                </c:pt>
                <c:pt idx="46">
                  <c:v>2.14733</c:v>
                </c:pt>
                <c:pt idx="47">
                  <c:v>2.00238</c:v>
                </c:pt>
                <c:pt idx="48">
                  <c:v>1.48759</c:v>
                </c:pt>
                <c:pt idx="49">
                  <c:v>1.51886</c:v>
                </c:pt>
                <c:pt idx="50">
                  <c:v>1.88319</c:v>
                </c:pt>
                <c:pt idx="51">
                  <c:v>2.00058</c:v>
                </c:pt>
                <c:pt idx="52">
                  <c:v>1.79591</c:v>
                </c:pt>
                <c:pt idx="53">
                  <c:v>1.67119</c:v>
                </c:pt>
                <c:pt idx="54">
                  <c:v>1.82633</c:v>
                </c:pt>
                <c:pt idx="55">
                  <c:v>1.73764</c:v>
                </c:pt>
                <c:pt idx="56">
                  <c:v>1.6845</c:v>
                </c:pt>
                <c:pt idx="57">
                  <c:v>1.73397</c:v>
                </c:pt>
                <c:pt idx="58">
                  <c:v>2.09229</c:v>
                </c:pt>
                <c:pt idx="59">
                  <c:v>2.31953</c:v>
                </c:pt>
                <c:pt idx="60">
                  <c:v>2.59977</c:v>
                </c:pt>
                <c:pt idx="61">
                  <c:v>2.34132</c:v>
                </c:pt>
                <c:pt idx="62">
                  <c:v>1.49404</c:v>
                </c:pt>
                <c:pt idx="63">
                  <c:v>0.31305</c:v>
                </c:pt>
                <c:pt idx="64">
                  <c:v>0.1982</c:v>
                </c:pt>
                <c:pt idx="65">
                  <c:v>0.71666</c:v>
                </c:pt>
                <c:pt idx="66">
                  <c:v>0.99686</c:v>
                </c:pt>
                <c:pt idx="67">
                  <c:v>1.28107</c:v>
                </c:pt>
                <c:pt idx="68">
                  <c:v>1.39102</c:v>
                </c:pt>
                <c:pt idx="69">
                  <c:v>1.23039</c:v>
                </c:pt>
                <c:pt idx="70">
                  <c:v>1.17575</c:v>
                </c:pt>
                <c:pt idx="71">
                  <c:v>1.32042</c:v>
                </c:pt>
                <c:pt idx="72">
                  <c:v>1.35532</c:v>
                </c:pt>
                <c:pt idx="73">
                  <c:v>1.6675</c:v>
                </c:pt>
                <c:pt idx="74">
                  <c:v>2.62365</c:v>
                </c:pt>
                <c:pt idx="75">
                  <c:v>4.13737</c:v>
                </c:pt>
                <c:pt idx="76">
                  <c:v>4.92647</c:v>
                </c:pt>
                <c:pt idx="77">
                  <c:v>5.31742</c:v>
                </c:pt>
                <c:pt idx="78">
                  <c:v>5.26917</c:v>
                </c:pt>
                <c:pt idx="79">
                  <c:v>5.18132</c:v>
                </c:pt>
                <c:pt idx="80">
                  <c:v>5.36352</c:v>
                </c:pt>
                <c:pt idx="81">
                  <c:v>6.22659</c:v>
                </c:pt>
                <c:pt idx="82">
                  <c:v>6.86556</c:v>
                </c:pt>
                <c:pt idx="83">
                  <c:v>7.15946</c:v>
                </c:pt>
                <c:pt idx="84">
                  <c:v>7.57808</c:v>
                </c:pt>
                <c:pt idx="85">
                  <c:v>7.94922</c:v>
                </c:pt>
                <c:pt idx="86">
                  <c:v>8.54078</c:v>
                </c:pt>
                <c:pt idx="87">
                  <c:v>8.23516</c:v>
                </c:pt>
                <c:pt idx="88">
                  <c:v>8.53005</c:v>
                </c:pt>
                <c:pt idx="89">
                  <c:v>8.9993</c:v>
                </c:pt>
                <c:pt idx="90">
                  <c:v>8.44778</c:v>
                </c:pt>
                <c:pt idx="91">
                  <c:v>8.21626</c:v>
                </c:pt>
                <c:pt idx="92">
                  <c:v>8.20575</c:v>
                </c:pt>
                <c:pt idx="93">
                  <c:v>7.75726</c:v>
                </c:pt>
                <c:pt idx="94">
                  <c:v>7.13138</c:v>
                </c:pt>
                <c:pt idx="95">
                  <c:v>6.41083</c:v>
                </c:pt>
                <c:pt idx="96">
                  <c:v>6.3403</c:v>
                </c:pt>
                <c:pt idx="97">
                  <c:v>5.95765</c:v>
                </c:pt>
                <c:pt idx="98">
                  <c:v>4.93135</c:v>
                </c:pt>
                <c:pt idx="99">
                  <c:v>4.94695</c:v>
                </c:pt>
                <c:pt idx="100">
                  <c:v>4.12531</c:v>
                </c:pt>
                <c:pt idx="101">
                  <c:v>3.05925</c:v>
                </c:pt>
                <c:pt idx="102">
                  <c:v>3.28033</c:v>
                </c:pt>
                <c:pt idx="103">
                  <c:v>3.71864</c:v>
                </c:pt>
                <c:pt idx="104">
                  <c:v>3.69508</c:v>
                </c:pt>
                <c:pt idx="105">
                  <c:v>3.24654</c:v>
                </c:pt>
                <c:pt idx="106">
                  <c:v>3.13986</c:v>
                </c:pt>
                <c:pt idx="107">
                  <c:v>3.3222</c:v>
                </c:pt>
                <c:pt idx="108">
                  <c:v>3.10794</c:v>
                </c:pt>
                <c:pt idx="109">
                  <c:v>3.16642</c:v>
                </c:pt>
                <c:pt idx="110">
                  <c:v>3.469</c:v>
                </c:pt>
                <c:pt idx="111">
                  <c:v>3.35405</c:v>
                </c:pt>
                <c:pt idx="112">
                  <c:v>3.23887</c:v>
                </c:pt>
                <c:pt idx="113">
                  <c:v>2.97009</c:v>
                </c:pt>
                <c:pt idx="114">
                  <c:v>2.93846</c:v>
                </c:pt>
                <c:pt idx="115">
                  <c:v>2.61091</c:v>
                </c:pt>
                <c:pt idx="116">
                  <c:v>2.43254</c:v>
                </c:pt>
                <c:pt idx="117">
                  <c:v>2.5714</c:v>
                </c:pt>
                <c:pt idx="118">
                  <c:v>2.71417</c:v>
                </c:pt>
                <c:pt idx="119">
                  <c:v>2.87237</c:v>
                </c:pt>
                <c:pt idx="120">
                  <c:v>2.99941</c:v>
                </c:pt>
                <c:pt idx="121">
                  <c:v>2.81427</c:v>
                </c:pt>
                <c:pt idx="122">
                  <c:v>2.40559</c:v>
                </c:pt>
                <c:pt idx="123">
                  <c:v>2.33375</c:v>
                </c:pt>
                <c:pt idx="124">
                  <c:v>2.37593</c:v>
                </c:pt>
                <c:pt idx="125">
                  <c:v>2.67268</c:v>
                </c:pt>
                <c:pt idx="126">
                  <c:v>2.7318</c:v>
                </c:pt>
                <c:pt idx="127">
                  <c:v>2.93922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9D-4C9D-B4C7-38ADCBD866C0}"/>
            </c:ext>
          </c:extLst>
        </c:ser>
        <c:ser>
          <c:idx val="1"/>
          <c:order val="1"/>
          <c:tx>
            <c:strRef>
              <c:f>Inflation!$C$1</c:f>
              <c:strCache>
                <c:ptCount val="1"/>
                <c:pt idx="0">
                  <c:v>Euro Area Inflation (HICP, YoY %)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Inflation!$A$2:$A$129</c:f>
              <c:numCache>
                <c:formatCode>m/d/yyyy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Inflation!$C$2:$C$129</c:f>
              <c:numCache>
                <c:formatCode>0.000</c:formatCode>
                <c:ptCount val="128"/>
                <c:pt idx="0">
                  <c:v>-0.60704</c:v>
                </c:pt>
                <c:pt idx="1">
                  <c:v>-0.29252</c:v>
                </c:pt>
                <c:pt idx="2">
                  <c:v>-0.06995</c:v>
                </c:pt>
                <c:pt idx="3">
                  <c:v>0.20954</c:v>
                </c:pt>
                <c:pt idx="4">
                  <c:v>0.58929</c:v>
                </c:pt>
                <c:pt idx="5">
                  <c:v>0.48888</c:v>
                </c:pt>
                <c:pt idx="6">
                  <c:v>0.54228</c:v>
                </c:pt>
                <c:pt idx="7">
                  <c:v>0.43134</c:v>
                </c:pt>
                <c:pt idx="8">
                  <c:v>0.18975</c:v>
                </c:pt>
                <c:pt idx="9">
                  <c:v>0.38977</c:v>
                </c:pt>
                <c:pt idx="10">
                  <c:v>0.13016</c:v>
                </c:pt>
                <c:pt idx="11">
                  <c:v>0.25055</c:v>
                </c:pt>
                <c:pt idx="12">
                  <c:v>0.32573</c:v>
                </c:pt>
                <c:pt idx="13">
                  <c:v>-0.13151</c:v>
                </c:pt>
                <c:pt idx="14">
                  <c:v>-0.05</c:v>
                </c:pt>
                <c:pt idx="15">
                  <c:v>-0.25889</c:v>
                </c:pt>
                <c:pt idx="16">
                  <c:v>-0.12908</c:v>
                </c:pt>
                <c:pt idx="17">
                  <c:v>0.03971</c:v>
                </c:pt>
                <c:pt idx="18">
                  <c:v>0.15981</c:v>
                </c:pt>
                <c:pt idx="19">
                  <c:v>0.21974</c:v>
                </c:pt>
                <c:pt idx="20">
                  <c:v>0.38876</c:v>
                </c:pt>
                <c:pt idx="21">
                  <c:v>0.49776</c:v>
                </c:pt>
                <c:pt idx="22">
                  <c:v>0.57994</c:v>
                </c:pt>
                <c:pt idx="23">
                  <c:v>1.08967</c:v>
                </c:pt>
                <c:pt idx="24">
                  <c:v>1.72484</c:v>
                </c:pt>
                <c:pt idx="25">
                  <c:v>1.95502</c:v>
                </c:pt>
                <c:pt idx="26">
                  <c:v>1.53077</c:v>
                </c:pt>
                <c:pt idx="27">
                  <c:v>1.88679</c:v>
                </c:pt>
                <c:pt idx="28">
                  <c:v>1.38198</c:v>
                </c:pt>
                <c:pt idx="29">
                  <c:v>1.30012</c:v>
                </c:pt>
                <c:pt idx="30">
                  <c:v>1.33626</c:v>
                </c:pt>
                <c:pt idx="31">
                  <c:v>1.53478</c:v>
                </c:pt>
                <c:pt idx="32">
                  <c:v>1.56886</c:v>
                </c:pt>
                <c:pt idx="33">
                  <c:v>1.37692</c:v>
                </c:pt>
                <c:pt idx="34">
                  <c:v>1.53097</c:v>
                </c:pt>
                <c:pt idx="35">
                  <c:v>1.34494</c:v>
                </c:pt>
                <c:pt idx="36">
                  <c:v>1.28665</c:v>
                </c:pt>
                <c:pt idx="37">
                  <c:v>1.11277</c:v>
                </c:pt>
                <c:pt idx="38">
                  <c:v>1.39929</c:v>
                </c:pt>
                <c:pt idx="39">
                  <c:v>1.23457</c:v>
                </c:pt>
                <c:pt idx="40">
                  <c:v>1.95155</c:v>
                </c:pt>
                <c:pt idx="41">
                  <c:v>1.96924</c:v>
                </c:pt>
                <c:pt idx="42">
                  <c:v>2.19445</c:v>
                </c:pt>
                <c:pt idx="43">
                  <c:v>2.08088</c:v>
                </c:pt>
                <c:pt idx="44">
                  <c:v>2.07254</c:v>
                </c:pt>
                <c:pt idx="45">
                  <c:v>2.27672</c:v>
                </c:pt>
                <c:pt idx="46">
                  <c:v>1.91912</c:v>
                </c:pt>
                <c:pt idx="47">
                  <c:v>1.52225</c:v>
                </c:pt>
                <c:pt idx="48">
                  <c:v>1.38848</c:v>
                </c:pt>
                <c:pt idx="49">
                  <c:v>1.48374</c:v>
                </c:pt>
                <c:pt idx="50">
                  <c:v>1.39942</c:v>
                </c:pt>
                <c:pt idx="51">
                  <c:v>1.71312</c:v>
                </c:pt>
                <c:pt idx="52">
                  <c:v>1.22162</c:v>
                </c:pt>
                <c:pt idx="53">
                  <c:v>1.26826</c:v>
                </c:pt>
                <c:pt idx="54">
                  <c:v>1.0207</c:v>
                </c:pt>
                <c:pt idx="55">
                  <c:v>1.00962</c:v>
                </c:pt>
                <c:pt idx="56">
                  <c:v>0.83325</c:v>
                </c:pt>
                <c:pt idx="57">
                  <c:v>0.72609</c:v>
                </c:pt>
                <c:pt idx="58">
                  <c:v>0.96071</c:v>
                </c:pt>
                <c:pt idx="59">
                  <c:v>1.32641</c:v>
                </c:pt>
                <c:pt idx="60">
                  <c:v>1.36946</c:v>
                </c:pt>
                <c:pt idx="61">
                  <c:v>1.22967</c:v>
                </c:pt>
                <c:pt idx="62">
                  <c:v>0.74756</c:v>
                </c:pt>
                <c:pt idx="63">
                  <c:v>0.31402</c:v>
                </c:pt>
                <c:pt idx="64">
                  <c:v>0.08553</c:v>
                </c:pt>
                <c:pt idx="65">
                  <c:v>0.26565</c:v>
                </c:pt>
                <c:pt idx="66">
                  <c:v>0.38128</c:v>
                </c:pt>
                <c:pt idx="67">
                  <c:v>-0.17135</c:v>
                </c:pt>
                <c:pt idx="68">
                  <c:v>-0.31345</c:v>
                </c:pt>
                <c:pt idx="69">
                  <c:v>-0.27506</c:v>
                </c:pt>
                <c:pt idx="70">
                  <c:v>-0.28547</c:v>
                </c:pt>
                <c:pt idx="71">
                  <c:v>-0.27509</c:v>
                </c:pt>
                <c:pt idx="72">
                  <c:v>0.90064</c:v>
                </c:pt>
                <c:pt idx="73">
                  <c:v>0.93735</c:v>
                </c:pt>
                <c:pt idx="74">
                  <c:v>1.33181</c:v>
                </c:pt>
                <c:pt idx="75">
                  <c:v>1.6126</c:v>
                </c:pt>
                <c:pt idx="76">
                  <c:v>1.97493</c:v>
                </c:pt>
                <c:pt idx="77">
                  <c:v>1.90197</c:v>
                </c:pt>
                <c:pt idx="78">
                  <c:v>2.17453</c:v>
                </c:pt>
                <c:pt idx="79">
                  <c:v>2.95604</c:v>
                </c:pt>
                <c:pt idx="80">
                  <c:v>3.36351</c:v>
                </c:pt>
                <c:pt idx="81">
                  <c:v>4.05174</c:v>
                </c:pt>
                <c:pt idx="82">
                  <c:v>4.86688</c:v>
                </c:pt>
                <c:pt idx="83">
                  <c:v>4.97479</c:v>
                </c:pt>
                <c:pt idx="84">
                  <c:v>5.10873</c:v>
                </c:pt>
                <c:pt idx="85">
                  <c:v>5.87511</c:v>
                </c:pt>
                <c:pt idx="86">
                  <c:v>7.44461</c:v>
                </c:pt>
                <c:pt idx="87">
                  <c:v>7.45892</c:v>
                </c:pt>
                <c:pt idx="88">
                  <c:v>8.07263</c:v>
                </c:pt>
                <c:pt idx="89">
                  <c:v>8.66376</c:v>
                </c:pt>
                <c:pt idx="90">
                  <c:v>8.88476</c:v>
                </c:pt>
                <c:pt idx="91">
                  <c:v>9.16921</c:v>
                </c:pt>
                <c:pt idx="92">
                  <c:v>9.94653</c:v>
                </c:pt>
                <c:pt idx="93">
                  <c:v>10.63985</c:v>
                </c:pt>
                <c:pt idx="94">
                  <c:v>10.07371</c:v>
                </c:pt>
                <c:pt idx="95">
                  <c:v>9.2153</c:v>
                </c:pt>
                <c:pt idx="96">
                  <c:v>8.66384</c:v>
                </c:pt>
                <c:pt idx="97">
                  <c:v>8.52054</c:v>
                </c:pt>
                <c:pt idx="98">
                  <c:v>6.90258</c:v>
                </c:pt>
                <c:pt idx="99">
                  <c:v>6.96725</c:v>
                </c:pt>
                <c:pt idx="100">
                  <c:v>6.117</c:v>
                </c:pt>
                <c:pt idx="101">
                  <c:v>5.52042</c:v>
                </c:pt>
                <c:pt idx="102">
                  <c:v>5.30044</c:v>
                </c:pt>
                <c:pt idx="103">
                  <c:v>5.23458</c:v>
                </c:pt>
                <c:pt idx="104">
                  <c:v>4.3347</c:v>
                </c:pt>
                <c:pt idx="105">
                  <c:v>2.89987</c:v>
                </c:pt>
                <c:pt idx="106">
                  <c:v>2.39749</c:v>
                </c:pt>
                <c:pt idx="107">
                  <c:v>2.92873</c:v>
                </c:pt>
                <c:pt idx="108">
                  <c:v>2.77685</c:v>
                </c:pt>
                <c:pt idx="109">
                  <c:v>2.58144</c:v>
                </c:pt>
                <c:pt idx="110">
                  <c:v>2.42746</c:v>
                </c:pt>
                <c:pt idx="111">
                  <c:v>2.37148</c:v>
                </c:pt>
                <c:pt idx="112">
                  <c:v>2.55744</c:v>
                </c:pt>
                <c:pt idx="113">
                  <c:v>2.51863</c:v>
                </c:pt>
                <c:pt idx="114">
                  <c:v>2.58572</c:v>
                </c:pt>
                <c:pt idx="115">
                  <c:v>2.16866</c:v>
                </c:pt>
                <c:pt idx="116">
                  <c:v>1.74381</c:v>
                </c:pt>
                <c:pt idx="117">
                  <c:v>2.00723</c:v>
                </c:pt>
                <c:pt idx="118">
                  <c:v>2.2364</c:v>
                </c:pt>
                <c:pt idx="119">
                  <c:v>2.43431</c:v>
                </c:pt>
                <c:pt idx="120">
                  <c:v>2.51577</c:v>
                </c:pt>
                <c:pt idx="121">
                  <c:v>2.33156</c:v>
                </c:pt>
                <c:pt idx="122">
                  <c:v>2.17842</c:v>
                </c:pt>
                <c:pt idx="123">
                  <c:v>2.16581</c:v>
                </c:pt>
                <c:pt idx="124">
                  <c:v>1.89994</c:v>
                </c:pt>
                <c:pt idx="125">
                  <c:v>1.99068</c:v>
                </c:pt>
                <c:pt idx="126">
                  <c:v>2.03066</c:v>
                </c:pt>
                <c:pt idx="127">
                  <c:v>2.04371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9D-4C9D-B4C7-38ADCBD866C0}"/>
            </c:ext>
          </c:extLst>
        </c:ser>
        <c:ser>
          <c:idx val="2"/>
          <c:order val="2"/>
          <c:tx>
            <c:v>2% Target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Inflation!$D$2:$D$129</c:f>
              <c:numCache>
                <c:formatCode>General</c:formatCode>
                <c:ptCount val="12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9D-4C9D-B4C7-38ADCBD86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5337951"/>
        <c:axId val="2065338911"/>
      </c:lineChart>
      <c:catAx>
        <c:axId val="2065337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338911"/>
        <c:crosses val="autoZero"/>
        <c:auto val="0"/>
        <c:lblAlgn val="ctr"/>
        <c:lblOffset val="100"/>
        <c:noMultiLvlLbl val="0"/>
      </c:catAx>
      <c:valAx>
        <c:axId val="20653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nflation, Year‑over‑Year (%)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33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500"/>
              <a:t>Quarterly Real GDP Growth (YoY): US vs. EZ, 2023–2025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GDP_Growth!$C$1</c:f>
              <c:strCache>
                <c:ptCount val="1"/>
                <c:pt idx="0">
                  <c:v>U.S. Real GDP Growth (% YoY)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GDP_Growth!$B$34:$B$43</c:f>
              <c:strCache>
                <c:ptCount val="10"/>
                <c:pt idx="0">
                  <c:v>2023Q1</c:v>
                </c:pt>
                <c:pt idx="1">
                  <c:v>2023Q2</c:v>
                </c:pt>
                <c:pt idx="2">
                  <c:v>2023Q3</c:v>
                </c:pt>
                <c:pt idx="3">
                  <c:v>2023Q4</c:v>
                </c:pt>
                <c:pt idx="4">
                  <c:v>2024Q1</c:v>
                </c:pt>
                <c:pt idx="5">
                  <c:v>2024Q2</c:v>
                </c:pt>
                <c:pt idx="6">
                  <c:v>2024Q3</c:v>
                </c:pt>
                <c:pt idx="7">
                  <c:v>2024Q4</c:v>
                </c:pt>
                <c:pt idx="8">
                  <c:v>2025Q1</c:v>
                </c:pt>
                <c:pt idx="9">
                  <c:v>2025Q2</c:v>
                </c:pt>
              </c:strCache>
            </c:strRef>
          </c:cat>
          <c:val>
            <c:numRef>
              <c:f>GDP_Growth!$C$34:$C$43</c:f>
              <c:numCache>
                <c:formatCode>General</c:formatCode>
                <c:ptCount val="10"/>
                <c:pt idx="0">
                  <c:v>2.31115</c:v>
                </c:pt>
                <c:pt idx="1">
                  <c:v>2.79261</c:v>
                </c:pt>
                <c:pt idx="2">
                  <c:v>3.23319</c:v>
                </c:pt>
                <c:pt idx="3">
                  <c:v>3.39089</c:v>
                </c:pt>
                <c:pt idx="4">
                  <c:v>2.86329</c:v>
                </c:pt>
                <c:pt idx="5">
                  <c:v>3.12663</c:v>
                </c:pt>
                <c:pt idx="6">
                  <c:v>2.79139</c:v>
                </c:pt>
                <c:pt idx="7">
                  <c:v>2.39979</c:v>
                </c:pt>
                <c:pt idx="8">
                  <c:v>2.01927</c:v>
                </c:pt>
                <c:pt idx="9">
                  <c:v>2.08047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2-4237-A4AC-20BAC81E96CD}"/>
            </c:ext>
          </c:extLst>
        </c:ser>
        <c:ser>
          <c:idx val="1"/>
          <c:order val="1"/>
          <c:tx>
            <c:strRef>
              <c:f>GDP_Growth!$D$1</c:f>
              <c:strCache>
                <c:ptCount val="1"/>
                <c:pt idx="0">
                  <c:v>Euro Area Real GDP Growth (% YoY)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GDP_Growth!$B$34:$B$43</c:f>
              <c:strCache>
                <c:ptCount val="10"/>
                <c:pt idx="0">
                  <c:v>2023Q1</c:v>
                </c:pt>
                <c:pt idx="1">
                  <c:v>2023Q2</c:v>
                </c:pt>
                <c:pt idx="2">
                  <c:v>2023Q3</c:v>
                </c:pt>
                <c:pt idx="3">
                  <c:v>2023Q4</c:v>
                </c:pt>
                <c:pt idx="4">
                  <c:v>2024Q1</c:v>
                </c:pt>
                <c:pt idx="5">
                  <c:v>2024Q2</c:v>
                </c:pt>
                <c:pt idx="6">
                  <c:v>2024Q3</c:v>
                </c:pt>
                <c:pt idx="7">
                  <c:v>2024Q4</c:v>
                </c:pt>
                <c:pt idx="8">
                  <c:v>2025Q1</c:v>
                </c:pt>
                <c:pt idx="9">
                  <c:v>2025Q2</c:v>
                </c:pt>
              </c:strCache>
            </c:strRef>
          </c:cat>
          <c:val>
            <c:numRef>
              <c:f>GDP_Growth!$D$34:$D$43</c:f>
              <c:numCache>
                <c:formatCode>General</c:formatCode>
                <c:ptCount val="10"/>
                <c:pt idx="0">
                  <c:v>1.2922</c:v>
                </c:pt>
                <c:pt idx="1">
                  <c:v>0.54839</c:v>
                </c:pt>
                <c:pt idx="2">
                  <c:v>0.0454</c:v>
                </c:pt>
                <c:pt idx="3">
                  <c:v>0.12679</c:v>
                </c:pt>
                <c:pt idx="4">
                  <c:v>0.4681</c:v>
                </c:pt>
                <c:pt idx="5">
                  <c:v>0.47259</c:v>
                </c:pt>
                <c:pt idx="6">
                  <c:v>0.92067</c:v>
                </c:pt>
                <c:pt idx="7">
                  <c:v>1.27829</c:v>
                </c:pt>
                <c:pt idx="8">
                  <c:v>1.56823</c:v>
                </c:pt>
                <c:pt idx="9">
                  <c:v>1.48418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2-4237-A4AC-20BAC81E9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568623"/>
        <c:axId val="1421566223"/>
      </c:lineChart>
      <c:catAx>
        <c:axId val="142156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566223"/>
        <c:crosses val="autoZero"/>
        <c:auto val="1"/>
        <c:lblAlgn val="ctr"/>
        <c:lblOffset val="100"/>
        <c:noMultiLvlLbl val="0"/>
      </c:catAx>
      <c:valAx>
        <c:axId val="142156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56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Household Saving Rates: U.S. vs. Euro Area (2015–2025)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Saving_Rate!$B$1</c:f>
              <c:strCache>
                <c:ptCount val="1"/>
                <c:pt idx="0">
                  <c:v>U.S. Household Saving Rate (%)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Saving_Rate!$A$2:$A$42</c:f>
              <c:strCache>
                <c:ptCount val="41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  <c:pt idx="36">
                  <c:v>2024Q1</c:v>
                </c:pt>
                <c:pt idx="37">
                  <c:v>2024Q2</c:v>
                </c:pt>
                <c:pt idx="38">
                  <c:v>2024Q3</c:v>
                </c:pt>
                <c:pt idx="39">
                  <c:v>2024Q4</c:v>
                </c:pt>
                <c:pt idx="40">
                  <c:v>2025Q1</c:v>
                </c:pt>
              </c:strCache>
            </c:strRef>
          </c:cat>
          <c:val>
            <c:numRef>
              <c:f>Saving_Rate!$B$2:$B$42</c:f>
              <c:numCache>
                <c:formatCode>0.0</c:formatCode>
                <c:ptCount val="41"/>
                <c:pt idx="0">
                  <c:v>6.2</c:v>
                </c:pt>
                <c:pt idx="1">
                  <c:v>5.8</c:v>
                </c:pt>
                <c:pt idx="2">
                  <c:v>5.7</c:v>
                </c:pt>
                <c:pt idx="3">
                  <c:v>5.7</c:v>
                </c:pt>
                <c:pt idx="4">
                  <c:v>5.9</c:v>
                </c:pt>
                <c:pt idx="5">
                  <c:v>5.2</c:v>
                </c:pt>
                <c:pt idx="6">
                  <c:v>5.1</c:v>
                </c:pt>
                <c:pt idx="7">
                  <c:v>5.2</c:v>
                </c:pt>
                <c:pt idx="8">
                  <c:v>5.5</c:v>
                </c:pt>
                <c:pt idx="9">
                  <c:v>6</c:v>
                </c:pt>
                <c:pt idx="10">
                  <c:v>6</c:v>
                </c:pt>
                <c:pt idx="11">
                  <c:v>5.5</c:v>
                </c:pt>
                <c:pt idx="12">
                  <c:v>5.8</c:v>
                </c:pt>
                <c:pt idx="13">
                  <c:v>6.1</c:v>
                </c:pt>
                <c:pt idx="14">
                  <c:v>6.6</c:v>
                </c:pt>
                <c:pt idx="15">
                  <c:v>7.2</c:v>
                </c:pt>
                <c:pt idx="16">
                  <c:v>8.3</c:v>
                </c:pt>
                <c:pt idx="17">
                  <c:v>7.3</c:v>
                </c:pt>
                <c:pt idx="18">
                  <c:v>6.9</c:v>
                </c:pt>
                <c:pt idx="19">
                  <c:v>6.7</c:v>
                </c:pt>
                <c:pt idx="20">
                  <c:v>8.9</c:v>
                </c:pt>
                <c:pt idx="21">
                  <c:v>24.2</c:v>
                </c:pt>
                <c:pt idx="22">
                  <c:v>15</c:v>
                </c:pt>
                <c:pt idx="23">
                  <c:v>12.2</c:v>
                </c:pt>
                <c:pt idx="24">
                  <c:v>19.6</c:v>
                </c:pt>
                <c:pt idx="25">
                  <c:v>10.4</c:v>
                </c:pt>
                <c:pt idx="26">
                  <c:v>8.6</c:v>
                </c:pt>
                <c:pt idx="27">
                  <c:v>6.7</c:v>
                </c:pt>
                <c:pt idx="28">
                  <c:v>3.8</c:v>
                </c:pt>
                <c:pt idx="29">
                  <c:v>2.5</c:v>
                </c:pt>
                <c:pt idx="30">
                  <c:v>3.3</c:v>
                </c:pt>
                <c:pt idx="31">
                  <c:v>3.8</c:v>
                </c:pt>
                <c:pt idx="32">
                  <c:v>5.5</c:v>
                </c:pt>
                <c:pt idx="33">
                  <c:v>5.9</c:v>
                </c:pt>
                <c:pt idx="34">
                  <c:v>5.5</c:v>
                </c:pt>
                <c:pt idx="35">
                  <c:v>5.5</c:v>
                </c:pt>
                <c:pt idx="36">
                  <c:v>6.1</c:v>
                </c:pt>
                <c:pt idx="37">
                  <c:v>5.8</c:v>
                </c:pt>
                <c:pt idx="38">
                  <c:v>5.1</c:v>
                </c:pt>
                <c:pt idx="39">
                  <c:v>4.7</c:v>
                </c:pt>
                <c:pt idx="40">
                  <c:v>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6B-437A-9A36-1D40BE175AD8}"/>
            </c:ext>
          </c:extLst>
        </c:ser>
        <c:ser>
          <c:idx val="1"/>
          <c:order val="1"/>
          <c:tx>
            <c:strRef>
              <c:f>Saving_Rate!$C$1</c:f>
              <c:strCache>
                <c:ptCount val="1"/>
                <c:pt idx="0">
                  <c:v>Euro Area Household Saving Rate (%)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Saving_Rate!$A$2:$A$42</c:f>
              <c:strCache>
                <c:ptCount val="41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  <c:pt idx="36">
                  <c:v>2024Q1</c:v>
                </c:pt>
                <c:pt idx="37">
                  <c:v>2024Q2</c:v>
                </c:pt>
                <c:pt idx="38">
                  <c:v>2024Q3</c:v>
                </c:pt>
                <c:pt idx="39">
                  <c:v>2024Q4</c:v>
                </c:pt>
                <c:pt idx="40">
                  <c:v>2025Q1</c:v>
                </c:pt>
              </c:strCache>
            </c:strRef>
          </c:cat>
          <c:val>
            <c:numRef>
              <c:f>Saving_Rate!$C$2:$C$42</c:f>
              <c:numCache>
                <c:formatCode>0.0</c:formatCode>
                <c:ptCount val="41"/>
                <c:pt idx="0">
                  <c:v>12.4</c:v>
                </c:pt>
                <c:pt idx="1">
                  <c:v>12.52</c:v>
                </c:pt>
                <c:pt idx="2">
                  <c:v>12.44</c:v>
                </c:pt>
                <c:pt idx="3">
                  <c:v>12.53</c:v>
                </c:pt>
                <c:pt idx="4">
                  <c:v>12.55</c:v>
                </c:pt>
                <c:pt idx="5">
                  <c:v>12.67</c:v>
                </c:pt>
                <c:pt idx="6">
                  <c:v>12.65</c:v>
                </c:pt>
                <c:pt idx="7">
                  <c:v>12.55</c:v>
                </c:pt>
                <c:pt idx="8">
                  <c:v>12.46</c:v>
                </c:pt>
                <c:pt idx="9">
                  <c:v>12.51</c:v>
                </c:pt>
                <c:pt idx="10">
                  <c:v>12.41</c:v>
                </c:pt>
                <c:pt idx="11">
                  <c:v>12.47</c:v>
                </c:pt>
                <c:pt idx="12">
                  <c:v>12.44</c:v>
                </c:pt>
                <c:pt idx="13">
                  <c:v>12.49</c:v>
                </c:pt>
                <c:pt idx="14">
                  <c:v>12.46</c:v>
                </c:pt>
                <c:pt idx="15">
                  <c:v>12.52</c:v>
                </c:pt>
                <c:pt idx="16">
                  <c:v>12.68</c:v>
                </c:pt>
                <c:pt idx="17">
                  <c:v>12.91</c:v>
                </c:pt>
                <c:pt idx="18">
                  <c:v>13.04</c:v>
                </c:pt>
                <c:pt idx="19">
                  <c:v>13.02</c:v>
                </c:pt>
                <c:pt idx="20">
                  <c:v>13.94</c:v>
                </c:pt>
                <c:pt idx="21">
                  <c:v>16.72</c:v>
                </c:pt>
                <c:pt idx="22">
                  <c:v>17.71</c:v>
                </c:pt>
                <c:pt idx="23">
                  <c:v>19.38</c:v>
                </c:pt>
                <c:pt idx="24">
                  <c:v>20.35</c:v>
                </c:pt>
                <c:pt idx="25">
                  <c:v>18.99</c:v>
                </c:pt>
                <c:pt idx="26">
                  <c:v>18.46</c:v>
                </c:pt>
                <c:pt idx="27">
                  <c:v>17.28</c:v>
                </c:pt>
                <c:pt idx="28">
                  <c:v>15.77</c:v>
                </c:pt>
                <c:pt idx="29">
                  <c:v>14.48</c:v>
                </c:pt>
                <c:pt idx="30">
                  <c:v>13.95</c:v>
                </c:pt>
                <c:pt idx="31">
                  <c:v>13.56</c:v>
                </c:pt>
                <c:pt idx="32">
                  <c:v>13.41</c:v>
                </c:pt>
                <c:pt idx="33">
                  <c:v>13.75</c:v>
                </c:pt>
                <c:pt idx="34">
                  <c:v>13.94</c:v>
                </c:pt>
                <c:pt idx="35">
                  <c:v>14.23</c:v>
                </c:pt>
                <c:pt idx="36">
                  <c:v>14.56</c:v>
                </c:pt>
                <c:pt idx="37">
                  <c:v>14.89</c:v>
                </c:pt>
                <c:pt idx="38">
                  <c:v>15.13</c:v>
                </c:pt>
                <c:pt idx="39">
                  <c:v>15.19</c:v>
                </c:pt>
                <c:pt idx="40">
                  <c:v>15.19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6B-437A-9A36-1D40BE175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309439"/>
        <c:axId val="2068309919"/>
      </c:lineChart>
      <c:catAx>
        <c:axId val="2068309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09919"/>
        <c:crosses val="autoZero"/>
        <c:auto val="1"/>
        <c:lblAlgn val="ctr"/>
        <c:lblOffset val="100"/>
        <c:noMultiLvlLbl val="0"/>
      </c:catAx>
      <c:valAx>
        <c:axId val="2068309919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Household Saving Rate (% of disposable income)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0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U.S. and Euro Area Household Debt‑to‑GDP, (2015–2025)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Household_Debt!$B$1</c:f>
              <c:strCache>
                <c:ptCount val="1"/>
                <c:pt idx="0">
                  <c:v>U.S. Household Debt‑to‑GDP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Household_Debt!$A$2:$A$42</c:f>
              <c:strCache>
                <c:ptCount val="41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  <c:pt idx="36">
                  <c:v>2024Q1</c:v>
                </c:pt>
                <c:pt idx="37">
                  <c:v>2024Q2</c:v>
                </c:pt>
                <c:pt idx="38">
                  <c:v>2024Q3</c:v>
                </c:pt>
                <c:pt idx="39">
                  <c:v>2024Q4</c:v>
                </c:pt>
                <c:pt idx="40">
                  <c:v>2025Q1</c:v>
                </c:pt>
              </c:strCache>
            </c:strRef>
          </c:cat>
          <c:val>
            <c:numRef>
              <c:f>Household_Debt!$B$2:$B$42</c:f>
              <c:numCache>
                <c:formatCode>0.0</c:formatCode>
                <c:ptCount val="41"/>
                <c:pt idx="0">
                  <c:v>77.5770319759497</c:v>
                </c:pt>
                <c:pt idx="1">
                  <c:v>78.2785569827822</c:v>
                </c:pt>
                <c:pt idx="2">
                  <c:v>78.9417600437278</c:v>
                </c:pt>
                <c:pt idx="3">
                  <c:v>78.9769499863351</c:v>
                </c:pt>
                <c:pt idx="4">
                  <c:v>76.9350541614154</c:v>
                </c:pt>
                <c:pt idx="5">
                  <c:v>77.6255816303198</c:v>
                </c:pt>
                <c:pt idx="6">
                  <c:v>78.5171683975985</c:v>
                </c:pt>
                <c:pt idx="7">
                  <c:v>79.060260889449</c:v>
                </c:pt>
                <c:pt idx="8">
                  <c:v>76.0957776066816</c:v>
                </c:pt>
                <c:pt idx="9">
                  <c:v>76.8818739451665</c:v>
                </c:pt>
                <c:pt idx="10">
                  <c:v>77.6373514310043</c:v>
                </c:pt>
                <c:pt idx="11">
                  <c:v>78.6250936921594</c:v>
                </c:pt>
                <c:pt idx="12">
                  <c:v>74.8970410076235</c:v>
                </c:pt>
                <c:pt idx="13">
                  <c:v>75.5056041613969</c:v>
                </c:pt>
                <c:pt idx="14">
                  <c:v>76.3166892785694</c:v>
                </c:pt>
                <c:pt idx="15">
                  <c:v>76.9569034481841</c:v>
                </c:pt>
                <c:pt idx="16">
                  <c:v>73.9402158080499</c:v>
                </c:pt>
                <c:pt idx="17">
                  <c:v>74.8870832022785</c:v>
                </c:pt>
                <c:pt idx="18">
                  <c:v>75.8312718561651</c:v>
                </c:pt>
                <c:pt idx="19">
                  <c:v>76.7298105034941</c:v>
                </c:pt>
                <c:pt idx="20">
                  <c:v>77.6948996973653</c:v>
                </c:pt>
                <c:pt idx="21">
                  <c:v>77.7282937137438</c:v>
                </c:pt>
                <c:pt idx="22">
                  <c:v>78.9393524670292</c:v>
                </c:pt>
                <c:pt idx="23">
                  <c:v>80.2059461579437</c:v>
                </c:pt>
                <c:pt idx="24">
                  <c:v>73.025181394082</c:v>
                </c:pt>
                <c:pt idx="25">
                  <c:v>76.0511081059111</c:v>
                </c:pt>
                <c:pt idx="26">
                  <c:v>77.5131090412532</c:v>
                </c:pt>
                <c:pt idx="27">
                  <c:v>79.1382564420896</c:v>
                </c:pt>
                <c:pt idx="28">
                  <c:v>73.1901687629052</c:v>
                </c:pt>
                <c:pt idx="29">
                  <c:v>74.5998754176776</c:v>
                </c:pt>
                <c:pt idx="30">
                  <c:v>75.8374815914238</c:v>
                </c:pt>
                <c:pt idx="31">
                  <c:v>76.6457286335549</c:v>
                </c:pt>
                <c:pt idx="32">
                  <c:v>72.0240217382482</c:v>
                </c:pt>
                <c:pt idx="33">
                  <c:v>72.6295903155491</c:v>
                </c:pt>
                <c:pt idx="34">
                  <c:v>73.2746455945867</c:v>
                </c:pt>
                <c:pt idx="35">
                  <c:v>73.8734647091662</c:v>
                </c:pt>
                <c:pt idx="36">
                  <c:v>70.4049320025081</c:v>
                </c:pt>
                <c:pt idx="37">
                  <c:v>70.9649442005969</c:v>
                </c:pt>
                <c:pt idx="38">
                  <c:v>71.5557325877423</c:v>
                </c:pt>
                <c:pt idx="39">
                  <c:v>71.3997272562181</c:v>
                </c:pt>
                <c:pt idx="40">
                  <c:v>68.1002432909229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14-427E-AB26-41B974BD9013}"/>
            </c:ext>
          </c:extLst>
        </c:ser>
        <c:ser>
          <c:idx val="1"/>
          <c:order val="1"/>
          <c:tx>
            <c:strRef>
              <c:f>Household_Debt!$C$1</c:f>
              <c:strCache>
                <c:ptCount val="1"/>
                <c:pt idx="0">
                  <c:v>Euro Area Household Debt‑to‑GDP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Household_Debt!$A$2:$A$42</c:f>
              <c:strCache>
                <c:ptCount val="41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  <c:pt idx="36">
                  <c:v>2024Q1</c:v>
                </c:pt>
                <c:pt idx="37">
                  <c:v>2024Q2</c:v>
                </c:pt>
                <c:pt idx="38">
                  <c:v>2024Q3</c:v>
                </c:pt>
                <c:pt idx="39">
                  <c:v>2024Q4</c:v>
                </c:pt>
                <c:pt idx="40">
                  <c:v>2025Q1</c:v>
                </c:pt>
              </c:strCache>
            </c:strRef>
          </c:cat>
          <c:val>
            <c:numRef>
              <c:f>Household_Debt!$C$2:$C$42</c:f>
              <c:numCache>
                <c:formatCode>General</c:formatCode>
                <c:ptCount val="41"/>
                <c:pt idx="0">
                  <c:v>59.5</c:v>
                </c:pt>
                <c:pt idx="1">
                  <c:v>59.2</c:v>
                </c:pt>
                <c:pt idx="2">
                  <c:v>58.8</c:v>
                </c:pt>
                <c:pt idx="3">
                  <c:v>58.6</c:v>
                </c:pt>
                <c:pt idx="4">
                  <c:v>58.1</c:v>
                </c:pt>
                <c:pt idx="5">
                  <c:v>58.2</c:v>
                </c:pt>
                <c:pt idx="6">
                  <c:v>58.1</c:v>
                </c:pt>
                <c:pt idx="7">
                  <c:v>58</c:v>
                </c:pt>
                <c:pt idx="8">
                  <c:v>58.1</c:v>
                </c:pt>
                <c:pt idx="9">
                  <c:v>58</c:v>
                </c:pt>
                <c:pt idx="10">
                  <c:v>57.7</c:v>
                </c:pt>
                <c:pt idx="11">
                  <c:v>57.5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  <c:pt idx="15">
                  <c:v>57</c:v>
                </c:pt>
                <c:pt idx="16">
                  <c:v>56.8</c:v>
                </c:pt>
                <c:pt idx="17">
                  <c:v>56.9</c:v>
                </c:pt>
                <c:pt idx="18">
                  <c:v>56.9</c:v>
                </c:pt>
                <c:pt idx="19">
                  <c:v>57</c:v>
                </c:pt>
                <c:pt idx="20">
                  <c:v>57</c:v>
                </c:pt>
                <c:pt idx="21">
                  <c:v>59.2</c:v>
                </c:pt>
                <c:pt idx="22">
                  <c:v>60.1</c:v>
                </c:pt>
                <c:pt idx="23">
                  <c:v>61.2</c:v>
                </c:pt>
                <c:pt idx="24">
                  <c:v>61.4</c:v>
                </c:pt>
                <c:pt idx="25">
                  <c:v>60</c:v>
                </c:pt>
                <c:pt idx="26">
                  <c:v>59.4</c:v>
                </c:pt>
                <c:pt idx="27">
                  <c:v>58.7</c:v>
                </c:pt>
                <c:pt idx="28">
                  <c:v>58</c:v>
                </c:pt>
                <c:pt idx="29">
                  <c:v>57.6</c:v>
                </c:pt>
                <c:pt idx="30">
                  <c:v>56.9</c:v>
                </c:pt>
                <c:pt idx="31">
                  <c:v>56</c:v>
                </c:pt>
                <c:pt idx="32">
                  <c:v>54.9</c:v>
                </c:pt>
                <c:pt idx="33">
                  <c:v>54.2</c:v>
                </c:pt>
                <c:pt idx="34">
                  <c:v>53.5</c:v>
                </c:pt>
                <c:pt idx="35">
                  <c:v>52.8</c:v>
                </c:pt>
                <c:pt idx="36">
                  <c:v>52.2</c:v>
                </c:pt>
                <c:pt idx="37">
                  <c:v>52</c:v>
                </c:pt>
                <c:pt idx="38">
                  <c:v>51.7</c:v>
                </c:pt>
                <c:pt idx="39">
                  <c:v>51.4</c:v>
                </c:pt>
                <c:pt idx="40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14-427E-AB26-41B974BD9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422111"/>
        <c:axId val="2083422591"/>
      </c:lineChart>
      <c:catAx>
        <c:axId val="2083422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22591"/>
        <c:crosses val="autoZero"/>
        <c:auto val="1"/>
        <c:lblAlgn val="ctr"/>
        <c:lblOffset val="100"/>
        <c:noMultiLvlLbl val="0"/>
      </c:catAx>
      <c:valAx>
        <c:axId val="208342259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Household Debt‑to‑GDP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2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5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Unemployment Rates: U.S. vs Euro Zone (2023–2025)</a:t>
            </a:r>
            <a:endParaRPr 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Unemployment!$B$1</c:f>
              <c:strCache>
                <c:ptCount val="1"/>
                <c:pt idx="0">
                  <c:v>U.S. Unemployment Rate (%)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Unemployment!$A$98:$A$129</c:f>
              <c:numCache>
                <c:formatCode>m/d/yyyy</c:formatCode>
                <c:ptCount val="3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</c:numCache>
            </c:numRef>
          </c:cat>
          <c:val>
            <c:numRef>
              <c:f>Unemployment!$B$98:$B$129</c:f>
              <c:numCache>
                <c:formatCode>General</c:formatCode>
                <c:ptCount val="32"/>
                <c:pt idx="0">
                  <c:v>3.5</c:v>
                </c:pt>
                <c:pt idx="1">
                  <c:v>3.6</c:v>
                </c:pt>
                <c:pt idx="2">
                  <c:v>3.5</c:v>
                </c:pt>
                <c:pt idx="3">
                  <c:v>3.4</c:v>
                </c:pt>
                <c:pt idx="4">
                  <c:v>3.6</c:v>
                </c:pt>
                <c:pt idx="5">
                  <c:v>3.6</c:v>
                </c:pt>
                <c:pt idx="6">
                  <c:v>3.5</c:v>
                </c:pt>
                <c:pt idx="7">
                  <c:v>3.7</c:v>
                </c:pt>
                <c:pt idx="8">
                  <c:v>3.8</c:v>
                </c:pt>
                <c:pt idx="9">
                  <c:v>3.9</c:v>
                </c:pt>
                <c:pt idx="10">
                  <c:v>3.7</c:v>
                </c:pt>
                <c:pt idx="11">
                  <c:v>3.8</c:v>
                </c:pt>
                <c:pt idx="12">
                  <c:v>3.7</c:v>
                </c:pt>
                <c:pt idx="13">
                  <c:v>3.9</c:v>
                </c:pt>
                <c:pt idx="14">
                  <c:v>3.9</c:v>
                </c:pt>
                <c:pt idx="15">
                  <c:v>3.9</c:v>
                </c:pt>
                <c:pt idx="16">
                  <c:v>4</c:v>
                </c:pt>
                <c:pt idx="17">
                  <c:v>4.1</c:v>
                </c:pt>
                <c:pt idx="18">
                  <c:v>4.2</c:v>
                </c:pt>
                <c:pt idx="19">
                  <c:v>4.2</c:v>
                </c:pt>
                <c:pt idx="20">
                  <c:v>4.1</c:v>
                </c:pt>
                <c:pt idx="21">
                  <c:v>4.1</c:v>
                </c:pt>
                <c:pt idx="22">
                  <c:v>4.2</c:v>
                </c:pt>
                <c:pt idx="23">
                  <c:v>4.1</c:v>
                </c:pt>
                <c:pt idx="24">
                  <c:v>4</c:v>
                </c:pt>
                <c:pt idx="25">
                  <c:v>4.1</c:v>
                </c:pt>
                <c:pt idx="26">
                  <c:v>4.2</c:v>
                </c:pt>
                <c:pt idx="27">
                  <c:v>4.2</c:v>
                </c:pt>
                <c:pt idx="28">
                  <c:v>4.2</c:v>
                </c:pt>
                <c:pt idx="29">
                  <c:v>4.1</c:v>
                </c:pt>
                <c:pt idx="30">
                  <c:v>4.2</c:v>
                </c:pt>
                <c:pt idx="31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46-421D-877C-EA4E488999ED}"/>
            </c:ext>
          </c:extLst>
        </c:ser>
        <c:ser>
          <c:idx val="1"/>
          <c:order val="1"/>
          <c:tx>
            <c:strRef>
              <c:f>Unemployment!$C$1</c:f>
              <c:strCache>
                <c:ptCount val="1"/>
                <c:pt idx="0">
                  <c:v>Euro Area Unemployment Rate (%)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Unemployment!$A$98:$A$129</c:f>
              <c:numCache>
                <c:formatCode>m/d/yyyy</c:formatCode>
                <c:ptCount val="3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</c:numCache>
            </c:numRef>
          </c:cat>
          <c:val>
            <c:numRef>
              <c:f>Unemployment!$C$98:$C$129</c:f>
              <c:numCache>
                <c:formatCode>General</c:formatCode>
                <c:ptCount val="32"/>
                <c:pt idx="0">
                  <c:v>6.68913</c:v>
                </c:pt>
                <c:pt idx="1">
                  <c:v>6.628843</c:v>
                </c:pt>
                <c:pt idx="2">
                  <c:v>6.579824</c:v>
                </c:pt>
                <c:pt idx="3">
                  <c:v>6.542188</c:v>
                </c:pt>
                <c:pt idx="4">
                  <c:v>6.513704</c:v>
                </c:pt>
                <c:pt idx="5">
                  <c:v>6.479064</c:v>
                </c:pt>
                <c:pt idx="6">
                  <c:v>6.591712</c:v>
                </c:pt>
                <c:pt idx="7">
                  <c:v>6.570877</c:v>
                </c:pt>
                <c:pt idx="8">
                  <c:v>6.618531</c:v>
                </c:pt>
                <c:pt idx="9">
                  <c:v>6.635965</c:v>
                </c:pt>
                <c:pt idx="10">
                  <c:v>6.56937</c:v>
                </c:pt>
                <c:pt idx="11">
                  <c:v>6.52785</c:v>
                </c:pt>
                <c:pt idx="12">
                  <c:v>6.549942</c:v>
                </c:pt>
                <c:pt idx="13">
                  <c:v>6.54624</c:v>
                </c:pt>
                <c:pt idx="14">
                  <c:v>6.460073</c:v>
                </c:pt>
                <c:pt idx="15">
                  <c:v>6.429943</c:v>
                </c:pt>
                <c:pt idx="16">
                  <c:v>6.406699</c:v>
                </c:pt>
                <c:pt idx="17">
                  <c:v>6.399597</c:v>
                </c:pt>
                <c:pt idx="18">
                  <c:v>6.39693</c:v>
                </c:pt>
                <c:pt idx="19">
                  <c:v>6.331176</c:v>
                </c:pt>
                <c:pt idx="20">
                  <c:v>6.320052</c:v>
                </c:pt>
                <c:pt idx="21">
                  <c:v>6.260785</c:v>
                </c:pt>
                <c:pt idx="22">
                  <c:v>6.218895</c:v>
                </c:pt>
                <c:pt idx="23">
                  <c:v>6.264913</c:v>
                </c:pt>
                <c:pt idx="24">
                  <c:v>6.314188</c:v>
                </c:pt>
                <c:pt idx="25">
                  <c:v>6.310802</c:v>
                </c:pt>
                <c:pt idx="26">
                  <c:v>6.386192</c:v>
                </c:pt>
                <c:pt idx="27">
                  <c:v>6.318358</c:v>
                </c:pt>
                <c:pt idx="28">
                  <c:v>6.366002</c:v>
                </c:pt>
                <c:pt idx="29">
                  <c:v>6.33645</c:v>
                </c:pt>
                <c:pt idx="30">
                  <c:v>6.248858</c:v>
                </c:pt>
                <c:pt idx="31">
                  <c:v>6.25288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46-421D-877C-EA4E48899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88896"/>
        <c:axId val="95889376"/>
      </c:lineChart>
      <c:catAx>
        <c:axId val="95888896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89376"/>
        <c:crosses val="autoZero"/>
        <c:auto val="1"/>
        <c:lblAlgn val="ctr"/>
        <c:lblOffset val="100"/>
        <c:noMultiLvlLbl val="1"/>
      </c:catAx>
      <c:valAx>
        <c:axId val="9588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8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Phillips Curve: U.S. vs Euro Zone (2023–2025)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U.S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Inflation!$B$98:$B$129</c:f>
              <c:numCache>
                <c:formatCode>General</c:formatCode>
                <c:ptCount val="32"/>
                <c:pt idx="0">
                  <c:v>6.3403</c:v>
                </c:pt>
                <c:pt idx="1">
                  <c:v>5.95765</c:v>
                </c:pt>
                <c:pt idx="2">
                  <c:v>4.93135</c:v>
                </c:pt>
                <c:pt idx="3">
                  <c:v>4.94695</c:v>
                </c:pt>
                <c:pt idx="4">
                  <c:v>4.12531</c:v>
                </c:pt>
                <c:pt idx="5">
                  <c:v>3.05925</c:v>
                </c:pt>
                <c:pt idx="6">
                  <c:v>3.28033</c:v>
                </c:pt>
                <c:pt idx="7">
                  <c:v>3.71864</c:v>
                </c:pt>
                <c:pt idx="8">
                  <c:v>3.69508</c:v>
                </c:pt>
                <c:pt idx="9">
                  <c:v>3.24654</c:v>
                </c:pt>
                <c:pt idx="10">
                  <c:v>3.13986</c:v>
                </c:pt>
                <c:pt idx="11">
                  <c:v>3.3222</c:v>
                </c:pt>
                <c:pt idx="12">
                  <c:v>3.10794</c:v>
                </c:pt>
                <c:pt idx="13">
                  <c:v>3.16642</c:v>
                </c:pt>
                <c:pt idx="14">
                  <c:v>3.469</c:v>
                </c:pt>
                <c:pt idx="15">
                  <c:v>3.35405</c:v>
                </c:pt>
                <c:pt idx="16">
                  <c:v>3.23887</c:v>
                </c:pt>
                <c:pt idx="17">
                  <c:v>2.97009</c:v>
                </c:pt>
                <c:pt idx="18">
                  <c:v>2.93846</c:v>
                </c:pt>
                <c:pt idx="19">
                  <c:v>2.61091</c:v>
                </c:pt>
                <c:pt idx="20">
                  <c:v>2.43254</c:v>
                </c:pt>
                <c:pt idx="21">
                  <c:v>2.5714</c:v>
                </c:pt>
                <c:pt idx="22">
                  <c:v>2.71417</c:v>
                </c:pt>
                <c:pt idx="23">
                  <c:v>2.87237</c:v>
                </c:pt>
                <c:pt idx="24">
                  <c:v>2.99941</c:v>
                </c:pt>
                <c:pt idx="25">
                  <c:v>2.81427</c:v>
                </c:pt>
                <c:pt idx="26">
                  <c:v>2.40559</c:v>
                </c:pt>
                <c:pt idx="27">
                  <c:v>2.33375</c:v>
                </c:pt>
                <c:pt idx="28">
                  <c:v>2.37593</c:v>
                </c:pt>
                <c:pt idx="29">
                  <c:v>2.67268</c:v>
                </c:pt>
                <c:pt idx="30">
                  <c:v>2.7318</c:v>
                </c:pt>
                <c:pt idx="31">
                  <c:v>2.93922</c:v>
                </c:pt>
              </c:numCache>
            </c:numRef>
          </c:xVal>
          <c:yVal>
            <c:numRef>
              <c:f>Unemployment!$B$98:$B$129</c:f>
              <c:numCache>
                <c:formatCode>General</c:formatCode>
                <c:ptCount val="32"/>
                <c:pt idx="0">
                  <c:v>3.5</c:v>
                </c:pt>
                <c:pt idx="1">
                  <c:v>3.6</c:v>
                </c:pt>
                <c:pt idx="2">
                  <c:v>3.5</c:v>
                </c:pt>
                <c:pt idx="3">
                  <c:v>3.4</c:v>
                </c:pt>
                <c:pt idx="4">
                  <c:v>3.6</c:v>
                </c:pt>
                <c:pt idx="5">
                  <c:v>3.6</c:v>
                </c:pt>
                <c:pt idx="6">
                  <c:v>3.5</c:v>
                </c:pt>
                <c:pt idx="7">
                  <c:v>3.7</c:v>
                </c:pt>
                <c:pt idx="8">
                  <c:v>3.8</c:v>
                </c:pt>
                <c:pt idx="9">
                  <c:v>3.9</c:v>
                </c:pt>
                <c:pt idx="10">
                  <c:v>3.7</c:v>
                </c:pt>
                <c:pt idx="11">
                  <c:v>3.8</c:v>
                </c:pt>
                <c:pt idx="12">
                  <c:v>3.7</c:v>
                </c:pt>
                <c:pt idx="13">
                  <c:v>3.9</c:v>
                </c:pt>
                <c:pt idx="14">
                  <c:v>3.9</c:v>
                </c:pt>
                <c:pt idx="15">
                  <c:v>3.9</c:v>
                </c:pt>
                <c:pt idx="16">
                  <c:v>4</c:v>
                </c:pt>
                <c:pt idx="17">
                  <c:v>4.1</c:v>
                </c:pt>
                <c:pt idx="18">
                  <c:v>4.2</c:v>
                </c:pt>
                <c:pt idx="19">
                  <c:v>4.2</c:v>
                </c:pt>
                <c:pt idx="20">
                  <c:v>4.1</c:v>
                </c:pt>
                <c:pt idx="21">
                  <c:v>4.1</c:v>
                </c:pt>
                <c:pt idx="22">
                  <c:v>4.2</c:v>
                </c:pt>
                <c:pt idx="23">
                  <c:v>4.1</c:v>
                </c:pt>
                <c:pt idx="24">
                  <c:v>4</c:v>
                </c:pt>
                <c:pt idx="25">
                  <c:v>4.1</c:v>
                </c:pt>
                <c:pt idx="26">
                  <c:v>4.2</c:v>
                </c:pt>
                <c:pt idx="27">
                  <c:v>4.2</c:v>
                </c:pt>
                <c:pt idx="28">
                  <c:v>4.2</c:v>
                </c:pt>
                <c:pt idx="29">
                  <c:v>4.1</c:v>
                </c:pt>
                <c:pt idx="30">
                  <c:v>4.2</c:v>
                </c:pt>
                <c:pt idx="31">
                  <c:v>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25-4704-94E9-20A7E53DB4A0}"/>
            </c:ext>
          </c:extLst>
        </c:ser>
        <c:ser>
          <c:idx val="1"/>
          <c:order val="1"/>
          <c:tx>
            <c:v>Euro Area</c:v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Inflation!$C$98:$C$129</c:f>
              <c:numCache>
                <c:formatCode>General</c:formatCode>
                <c:ptCount val="32"/>
                <c:pt idx="0">
                  <c:v>8.66384</c:v>
                </c:pt>
                <c:pt idx="1">
                  <c:v>8.52054</c:v>
                </c:pt>
                <c:pt idx="2">
                  <c:v>6.90258</c:v>
                </c:pt>
                <c:pt idx="3">
                  <c:v>6.96725</c:v>
                </c:pt>
                <c:pt idx="4">
                  <c:v>6.117</c:v>
                </c:pt>
                <c:pt idx="5">
                  <c:v>5.52042</c:v>
                </c:pt>
                <c:pt idx="6">
                  <c:v>5.30044</c:v>
                </c:pt>
                <c:pt idx="7">
                  <c:v>5.23458</c:v>
                </c:pt>
                <c:pt idx="8">
                  <c:v>4.3347</c:v>
                </c:pt>
                <c:pt idx="9">
                  <c:v>2.89987</c:v>
                </c:pt>
                <c:pt idx="10">
                  <c:v>2.39749</c:v>
                </c:pt>
                <c:pt idx="11">
                  <c:v>2.92873</c:v>
                </c:pt>
                <c:pt idx="12">
                  <c:v>2.77685</c:v>
                </c:pt>
                <c:pt idx="13">
                  <c:v>2.58144</c:v>
                </c:pt>
                <c:pt idx="14">
                  <c:v>2.42746</c:v>
                </c:pt>
                <c:pt idx="15">
                  <c:v>2.37148</c:v>
                </c:pt>
                <c:pt idx="16">
                  <c:v>2.55744</c:v>
                </c:pt>
                <c:pt idx="17">
                  <c:v>2.51863</c:v>
                </c:pt>
                <c:pt idx="18">
                  <c:v>2.58572</c:v>
                </c:pt>
                <c:pt idx="19">
                  <c:v>2.16866</c:v>
                </c:pt>
                <c:pt idx="20">
                  <c:v>1.74381</c:v>
                </c:pt>
                <c:pt idx="21">
                  <c:v>2.00723</c:v>
                </c:pt>
                <c:pt idx="22">
                  <c:v>2.2364</c:v>
                </c:pt>
                <c:pt idx="23">
                  <c:v>2.43431</c:v>
                </c:pt>
                <c:pt idx="24">
                  <c:v>2.51577</c:v>
                </c:pt>
                <c:pt idx="25">
                  <c:v>2.33156</c:v>
                </c:pt>
                <c:pt idx="26">
                  <c:v>2.17842</c:v>
                </c:pt>
                <c:pt idx="27">
                  <c:v>2.16581</c:v>
                </c:pt>
                <c:pt idx="28">
                  <c:v>1.89994</c:v>
                </c:pt>
                <c:pt idx="29">
                  <c:v>1.99068</c:v>
                </c:pt>
                <c:pt idx="30">
                  <c:v>2.03066</c:v>
                </c:pt>
                <c:pt idx="31">
                  <c:v>2.04371</c:v>
                </c:pt>
              </c:numCache>
            </c:numRef>
          </c:xVal>
          <c:yVal>
            <c:numRef>
              <c:f>Unemployment!$C$98:$C$129</c:f>
              <c:numCache>
                <c:formatCode>General</c:formatCode>
                <c:ptCount val="32"/>
                <c:pt idx="0">
                  <c:v>6.68913</c:v>
                </c:pt>
                <c:pt idx="1">
                  <c:v>6.628843</c:v>
                </c:pt>
                <c:pt idx="2">
                  <c:v>6.579824</c:v>
                </c:pt>
                <c:pt idx="3">
                  <c:v>6.542188</c:v>
                </c:pt>
                <c:pt idx="4">
                  <c:v>6.513704</c:v>
                </c:pt>
                <c:pt idx="5">
                  <c:v>6.479064</c:v>
                </c:pt>
                <c:pt idx="6">
                  <c:v>6.591712</c:v>
                </c:pt>
                <c:pt idx="7">
                  <c:v>6.570877</c:v>
                </c:pt>
                <c:pt idx="8">
                  <c:v>6.618531</c:v>
                </c:pt>
                <c:pt idx="9">
                  <c:v>6.635965</c:v>
                </c:pt>
                <c:pt idx="10">
                  <c:v>6.56937</c:v>
                </c:pt>
                <c:pt idx="11">
                  <c:v>6.52785</c:v>
                </c:pt>
                <c:pt idx="12">
                  <c:v>6.549942</c:v>
                </c:pt>
                <c:pt idx="13">
                  <c:v>6.54624</c:v>
                </c:pt>
                <c:pt idx="14">
                  <c:v>6.460073</c:v>
                </c:pt>
                <c:pt idx="15">
                  <c:v>6.429943</c:v>
                </c:pt>
                <c:pt idx="16">
                  <c:v>6.406699</c:v>
                </c:pt>
                <c:pt idx="17">
                  <c:v>6.399597</c:v>
                </c:pt>
                <c:pt idx="18">
                  <c:v>6.39693</c:v>
                </c:pt>
                <c:pt idx="19">
                  <c:v>6.331176</c:v>
                </c:pt>
                <c:pt idx="20">
                  <c:v>6.320052</c:v>
                </c:pt>
                <c:pt idx="21">
                  <c:v>6.260785</c:v>
                </c:pt>
                <c:pt idx="22">
                  <c:v>6.218895</c:v>
                </c:pt>
                <c:pt idx="23">
                  <c:v>6.264913</c:v>
                </c:pt>
                <c:pt idx="24">
                  <c:v>6.314188</c:v>
                </c:pt>
                <c:pt idx="25">
                  <c:v>6.310802</c:v>
                </c:pt>
                <c:pt idx="26">
                  <c:v>6.386192</c:v>
                </c:pt>
                <c:pt idx="27">
                  <c:v>6.318358</c:v>
                </c:pt>
                <c:pt idx="28">
                  <c:v>6.366002</c:v>
                </c:pt>
                <c:pt idx="29">
                  <c:v>6.33645</c:v>
                </c:pt>
                <c:pt idx="30">
                  <c:v>6.248858</c:v>
                </c:pt>
                <c:pt idx="31">
                  <c:v>6.25288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25-4704-94E9-20A7E53DB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67712"/>
        <c:axId val="67768192"/>
      </c:scatterChart>
      <c:valAx>
        <c:axId val="6776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Inflation, YoY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68192"/>
        <c:crosses val="autoZero"/>
        <c:crossBetween val="midCat"/>
      </c:valAx>
      <c:valAx>
        <c:axId val="6776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Unemployment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67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Policy</a:t>
            </a:r>
            <a:r>
              <a:rPr lang="en-US" baseline="0"/>
              <a:t> Rates &amp; Inflation: U.S. vs. Euro Area (2015-2025)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Rates_Inflation_Lagged!$B$1</c:f>
              <c:strCache>
                <c:ptCount val="1"/>
                <c:pt idx="0">
                  <c:v>Fed funds rate (lagged 12 mo.)</c:v>
                </c:pt>
              </c:strCache>
            </c:strRef>
          </c:tx>
          <c:spPr>
            <a:ln w="2540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Rates_Inflation_Lagged!$A$2:$A$129</c:f>
              <c:numCache>
                <c:formatCode>m/d/yyyy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Rates_Inflation_Lagged!$B$2:$B$129</c:f>
              <c:numCache>
                <c:formatCode>0.00</c:formatCode>
                <c:ptCount val="128"/>
                <c:pt idx="0">
                  <c:v>0.07</c:v>
                </c:pt>
                <c:pt idx="1">
                  <c:v>0.07</c:v>
                </c:pt>
                <c:pt idx="2">
                  <c:v>0.08</c:v>
                </c:pt>
                <c:pt idx="3">
                  <c:v>0.09</c:v>
                </c:pt>
                <c:pt idx="4">
                  <c:v>0.09</c:v>
                </c:pt>
                <c:pt idx="5">
                  <c:v>0.1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0.09</c:v>
                </c:pt>
                <c:pt idx="10">
                  <c:v>0.09</c:v>
                </c:pt>
                <c:pt idx="11">
                  <c:v>0.12</c:v>
                </c:pt>
                <c:pt idx="12">
                  <c:v>0.11</c:v>
                </c:pt>
                <c:pt idx="13">
                  <c:v>0.11</c:v>
                </c:pt>
                <c:pt idx="14">
                  <c:v>0.11</c:v>
                </c:pt>
                <c:pt idx="15">
                  <c:v>0.12</c:v>
                </c:pt>
                <c:pt idx="16">
                  <c:v>0.12</c:v>
                </c:pt>
                <c:pt idx="17">
                  <c:v>0.13</c:v>
                </c:pt>
                <c:pt idx="18">
                  <c:v>0.13</c:v>
                </c:pt>
                <c:pt idx="19">
                  <c:v>0.14</c:v>
                </c:pt>
                <c:pt idx="20">
                  <c:v>0.14</c:v>
                </c:pt>
                <c:pt idx="21">
                  <c:v>0.12</c:v>
                </c:pt>
                <c:pt idx="22">
                  <c:v>0.12</c:v>
                </c:pt>
                <c:pt idx="23">
                  <c:v>0.24</c:v>
                </c:pt>
                <c:pt idx="24">
                  <c:v>0.34</c:v>
                </c:pt>
                <c:pt idx="25">
                  <c:v>0.38</c:v>
                </c:pt>
                <c:pt idx="26">
                  <c:v>0.36</c:v>
                </c:pt>
                <c:pt idx="27">
                  <c:v>0.37</c:v>
                </c:pt>
                <c:pt idx="28">
                  <c:v>0.37</c:v>
                </c:pt>
                <c:pt idx="29">
                  <c:v>0.38</c:v>
                </c:pt>
                <c:pt idx="30">
                  <c:v>0.39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0.41</c:v>
                </c:pt>
                <c:pt idx="35">
                  <c:v>0.54</c:v>
                </c:pt>
                <c:pt idx="36">
                  <c:v>0.65</c:v>
                </c:pt>
                <c:pt idx="37">
                  <c:v>0.66</c:v>
                </c:pt>
                <c:pt idx="38">
                  <c:v>0.79</c:v>
                </c:pt>
                <c:pt idx="39">
                  <c:v>0.9</c:v>
                </c:pt>
                <c:pt idx="40">
                  <c:v>0.91</c:v>
                </c:pt>
                <c:pt idx="41">
                  <c:v>1.04</c:v>
                </c:pt>
                <c:pt idx="42">
                  <c:v>1.15</c:v>
                </c:pt>
                <c:pt idx="43">
                  <c:v>1.16</c:v>
                </c:pt>
                <c:pt idx="44">
                  <c:v>1.15</c:v>
                </c:pt>
                <c:pt idx="45">
                  <c:v>1.15</c:v>
                </c:pt>
                <c:pt idx="46">
                  <c:v>1.16</c:v>
                </c:pt>
                <c:pt idx="47">
                  <c:v>1.3</c:v>
                </c:pt>
                <c:pt idx="48">
                  <c:v>1.41</c:v>
                </c:pt>
                <c:pt idx="49">
                  <c:v>1.42</c:v>
                </c:pt>
                <c:pt idx="50">
                  <c:v>1.51</c:v>
                </c:pt>
                <c:pt idx="51">
                  <c:v>1.69</c:v>
                </c:pt>
                <c:pt idx="52">
                  <c:v>1.7</c:v>
                </c:pt>
                <c:pt idx="53">
                  <c:v>1.82</c:v>
                </c:pt>
                <c:pt idx="54">
                  <c:v>1.91</c:v>
                </c:pt>
                <c:pt idx="55">
                  <c:v>1.91</c:v>
                </c:pt>
                <c:pt idx="56">
                  <c:v>1.95</c:v>
                </c:pt>
                <c:pt idx="57">
                  <c:v>2.19</c:v>
                </c:pt>
                <c:pt idx="58">
                  <c:v>2.2</c:v>
                </c:pt>
                <c:pt idx="59">
                  <c:v>2.27</c:v>
                </c:pt>
                <c:pt idx="60">
                  <c:v>2.4</c:v>
                </c:pt>
                <c:pt idx="61">
                  <c:v>2.4</c:v>
                </c:pt>
                <c:pt idx="62">
                  <c:v>2.41</c:v>
                </c:pt>
                <c:pt idx="63">
                  <c:v>2.42</c:v>
                </c:pt>
                <c:pt idx="64">
                  <c:v>2.39</c:v>
                </c:pt>
                <c:pt idx="65">
                  <c:v>2.38</c:v>
                </c:pt>
                <c:pt idx="66">
                  <c:v>2.4</c:v>
                </c:pt>
                <c:pt idx="67">
                  <c:v>2.13</c:v>
                </c:pt>
                <c:pt idx="68">
                  <c:v>2.04</c:v>
                </c:pt>
                <c:pt idx="69">
                  <c:v>1.83</c:v>
                </c:pt>
                <c:pt idx="70">
                  <c:v>1.55</c:v>
                </c:pt>
                <c:pt idx="71">
                  <c:v>1.55</c:v>
                </c:pt>
                <c:pt idx="72">
                  <c:v>1.55</c:v>
                </c:pt>
                <c:pt idx="73">
                  <c:v>1.58</c:v>
                </c:pt>
                <c:pt idx="74">
                  <c:v>0.65</c:v>
                </c:pt>
                <c:pt idx="75">
                  <c:v>0.05</c:v>
                </c:pt>
                <c:pt idx="76">
                  <c:v>0.05</c:v>
                </c:pt>
                <c:pt idx="77">
                  <c:v>0.08</c:v>
                </c:pt>
                <c:pt idx="78">
                  <c:v>0.09</c:v>
                </c:pt>
                <c:pt idx="79">
                  <c:v>0.1</c:v>
                </c:pt>
                <c:pt idx="80">
                  <c:v>0.09</c:v>
                </c:pt>
                <c:pt idx="81">
                  <c:v>0.09</c:v>
                </c:pt>
                <c:pt idx="82">
                  <c:v>0.09</c:v>
                </c:pt>
                <c:pt idx="83">
                  <c:v>0.09</c:v>
                </c:pt>
                <c:pt idx="84">
                  <c:v>0.09</c:v>
                </c:pt>
                <c:pt idx="85">
                  <c:v>0.08</c:v>
                </c:pt>
                <c:pt idx="86">
                  <c:v>0.07</c:v>
                </c:pt>
                <c:pt idx="87">
                  <c:v>0.07</c:v>
                </c:pt>
                <c:pt idx="88">
                  <c:v>0.06</c:v>
                </c:pt>
                <c:pt idx="89">
                  <c:v>0.08</c:v>
                </c:pt>
                <c:pt idx="90">
                  <c:v>0.1</c:v>
                </c:pt>
                <c:pt idx="91">
                  <c:v>0.09</c:v>
                </c:pt>
                <c:pt idx="92">
                  <c:v>0.08</c:v>
                </c:pt>
                <c:pt idx="93">
                  <c:v>0.08</c:v>
                </c:pt>
                <c:pt idx="94">
                  <c:v>0.08</c:v>
                </c:pt>
                <c:pt idx="95">
                  <c:v>0.08</c:v>
                </c:pt>
                <c:pt idx="96">
                  <c:v>0.08</c:v>
                </c:pt>
                <c:pt idx="97">
                  <c:v>0.08</c:v>
                </c:pt>
                <c:pt idx="98">
                  <c:v>0.2</c:v>
                </c:pt>
                <c:pt idx="99">
                  <c:v>0.33</c:v>
                </c:pt>
                <c:pt idx="100">
                  <c:v>0.77</c:v>
                </c:pt>
                <c:pt idx="101">
                  <c:v>1.21</c:v>
                </c:pt>
                <c:pt idx="102">
                  <c:v>1.68</c:v>
                </c:pt>
                <c:pt idx="103">
                  <c:v>2.33</c:v>
                </c:pt>
                <c:pt idx="104">
                  <c:v>2.56</c:v>
                </c:pt>
                <c:pt idx="105">
                  <c:v>3.08</c:v>
                </c:pt>
                <c:pt idx="106">
                  <c:v>3.78</c:v>
                </c:pt>
                <c:pt idx="107">
                  <c:v>4.1</c:v>
                </c:pt>
                <c:pt idx="108">
                  <c:v>4.33</c:v>
                </c:pt>
                <c:pt idx="109">
                  <c:v>4.57</c:v>
                </c:pt>
                <c:pt idx="110">
                  <c:v>4.65</c:v>
                </c:pt>
                <c:pt idx="111">
                  <c:v>4.83</c:v>
                </c:pt>
                <c:pt idx="112">
                  <c:v>5.06</c:v>
                </c:pt>
                <c:pt idx="113">
                  <c:v>5.08</c:v>
                </c:pt>
                <c:pt idx="114">
                  <c:v>5.12</c:v>
                </c:pt>
                <c:pt idx="115">
                  <c:v>5.33</c:v>
                </c:pt>
                <c:pt idx="116">
                  <c:v>5.33</c:v>
                </c:pt>
                <c:pt idx="117">
                  <c:v>5.33</c:v>
                </c:pt>
                <c:pt idx="118">
                  <c:v>5.33</c:v>
                </c:pt>
                <c:pt idx="119">
                  <c:v>5.33</c:v>
                </c:pt>
                <c:pt idx="120">
                  <c:v>5.33</c:v>
                </c:pt>
                <c:pt idx="121">
                  <c:v>5.33</c:v>
                </c:pt>
                <c:pt idx="122">
                  <c:v>5.33</c:v>
                </c:pt>
                <c:pt idx="123">
                  <c:v>5.33</c:v>
                </c:pt>
                <c:pt idx="124">
                  <c:v>5.33</c:v>
                </c:pt>
                <c:pt idx="125">
                  <c:v>5.33</c:v>
                </c:pt>
                <c:pt idx="126">
                  <c:v>5.33</c:v>
                </c:pt>
                <c:pt idx="127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32-4CC9-ADA5-ECE7B8D64A8B}"/>
            </c:ext>
          </c:extLst>
        </c:ser>
        <c:ser>
          <c:idx val="1"/>
          <c:order val="1"/>
          <c:tx>
            <c:strRef>
              <c:f>Rates_Inflation_Lagged!$C$1</c:f>
              <c:strCache>
                <c:ptCount val="1"/>
                <c:pt idx="0">
                  <c:v>ECB MRO rate (lagged 12 mo.)</c:v>
                </c:pt>
              </c:strCache>
            </c:strRef>
          </c:tx>
          <c:spPr>
            <a:ln w="25400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Rates_Inflation_Lagged!$A$2:$A$129</c:f>
              <c:numCache>
                <c:formatCode>m/d/yyyy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Rates_Inflation_Lagged!$C$2:$C$129</c:f>
              <c:numCache>
                <c:formatCode>0.00</c:formatCode>
                <c:ptCount val="128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0.5</c:v>
                </c:pt>
                <c:pt idx="103">
                  <c:v>0.5</c:v>
                </c:pt>
                <c:pt idx="104">
                  <c:v>1.25</c:v>
                </c:pt>
                <c:pt idx="105">
                  <c:v>2</c:v>
                </c:pt>
                <c:pt idx="106">
                  <c:v>2</c:v>
                </c:pt>
                <c:pt idx="107">
                  <c:v>2.5</c:v>
                </c:pt>
                <c:pt idx="108">
                  <c:v>3</c:v>
                </c:pt>
                <c:pt idx="109">
                  <c:v>3</c:v>
                </c:pt>
                <c:pt idx="110">
                  <c:v>3.5</c:v>
                </c:pt>
                <c:pt idx="111">
                  <c:v>3.75</c:v>
                </c:pt>
                <c:pt idx="112">
                  <c:v>3.75</c:v>
                </c:pt>
                <c:pt idx="113">
                  <c:v>4</c:v>
                </c:pt>
                <c:pt idx="114">
                  <c:v>4.25</c:v>
                </c:pt>
                <c:pt idx="115">
                  <c:v>4.25</c:v>
                </c:pt>
                <c:pt idx="116">
                  <c:v>4.5</c:v>
                </c:pt>
                <c:pt idx="117">
                  <c:v>4.5</c:v>
                </c:pt>
                <c:pt idx="118">
                  <c:v>4.5</c:v>
                </c:pt>
                <c:pt idx="119">
                  <c:v>4.5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4.25</c:v>
                </c:pt>
                <c:pt idx="124">
                  <c:v>4.25</c:v>
                </c:pt>
                <c:pt idx="125">
                  <c:v>4.25</c:v>
                </c:pt>
                <c:pt idx="126">
                  <c:v>4.25</c:v>
                </c:pt>
                <c:pt idx="127">
                  <c:v>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32-4CC9-ADA5-ECE7B8D64A8B}"/>
            </c:ext>
          </c:extLst>
        </c:ser>
        <c:ser>
          <c:idx val="2"/>
          <c:order val="2"/>
          <c:tx>
            <c:strRef>
              <c:f>Rates_Inflation_Lagged!$D$1</c:f>
              <c:strCache>
                <c:ptCount val="1"/>
                <c:pt idx="0">
                  <c:v>CPI (YoY %)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ot"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Rates_Inflation_Lagged!$A$2:$A$129</c:f>
              <c:numCache>
                <c:formatCode>m/d/yyyy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Rates_Inflation_Lagged!$D$2:$D$129</c:f>
              <c:numCache>
                <c:formatCode>0.000</c:formatCode>
                <c:ptCount val="128"/>
                <c:pt idx="0">
                  <c:v>-0.22993</c:v>
                </c:pt>
                <c:pt idx="1">
                  <c:v>-0.08703</c:v>
                </c:pt>
                <c:pt idx="2">
                  <c:v>-0.02203</c:v>
                </c:pt>
                <c:pt idx="3">
                  <c:v>-0.10403</c:v>
                </c:pt>
                <c:pt idx="4">
                  <c:v>0.03503</c:v>
                </c:pt>
                <c:pt idx="5">
                  <c:v>0.17957</c:v>
                </c:pt>
                <c:pt idx="6">
                  <c:v>0.22569</c:v>
                </c:pt>
                <c:pt idx="7">
                  <c:v>0.2413</c:v>
                </c:pt>
                <c:pt idx="8">
                  <c:v>0.00884</c:v>
                </c:pt>
                <c:pt idx="9">
                  <c:v>0.12762</c:v>
                </c:pt>
                <c:pt idx="10">
                  <c:v>0.43632</c:v>
                </c:pt>
                <c:pt idx="11">
                  <c:v>0.63872</c:v>
                </c:pt>
                <c:pt idx="12">
                  <c:v>1.2375</c:v>
                </c:pt>
                <c:pt idx="13">
                  <c:v>0.84728</c:v>
                </c:pt>
                <c:pt idx="14">
                  <c:v>0.89162</c:v>
                </c:pt>
                <c:pt idx="15">
                  <c:v>1.17263</c:v>
                </c:pt>
                <c:pt idx="16">
                  <c:v>1.07848</c:v>
                </c:pt>
                <c:pt idx="17">
                  <c:v>1.07929</c:v>
                </c:pt>
                <c:pt idx="18">
                  <c:v>0.86836</c:v>
                </c:pt>
                <c:pt idx="19">
                  <c:v>1.05532</c:v>
                </c:pt>
                <c:pt idx="20">
                  <c:v>1.54864</c:v>
                </c:pt>
                <c:pt idx="21">
                  <c:v>1.68592</c:v>
                </c:pt>
                <c:pt idx="22">
                  <c:v>1.68433</c:v>
                </c:pt>
                <c:pt idx="23">
                  <c:v>2.0508</c:v>
                </c:pt>
                <c:pt idx="24">
                  <c:v>2.51039</c:v>
                </c:pt>
                <c:pt idx="25">
                  <c:v>2.81036</c:v>
                </c:pt>
                <c:pt idx="26">
                  <c:v>2.4412</c:v>
                </c:pt>
                <c:pt idx="27">
                  <c:v>2.17622</c:v>
                </c:pt>
                <c:pt idx="28">
                  <c:v>1.85634</c:v>
                </c:pt>
                <c:pt idx="29">
                  <c:v>1.64057</c:v>
                </c:pt>
                <c:pt idx="30">
                  <c:v>1.72511</c:v>
                </c:pt>
                <c:pt idx="31">
                  <c:v>1.92812</c:v>
                </c:pt>
                <c:pt idx="32">
                  <c:v>2.18057</c:v>
                </c:pt>
                <c:pt idx="33">
                  <c:v>2.02076</c:v>
                </c:pt>
                <c:pt idx="34">
                  <c:v>2.17249</c:v>
                </c:pt>
                <c:pt idx="35">
                  <c:v>2.12993</c:v>
                </c:pt>
                <c:pt idx="36">
                  <c:v>2.15132</c:v>
                </c:pt>
                <c:pt idx="37">
                  <c:v>2.26347</c:v>
                </c:pt>
                <c:pt idx="38">
                  <c:v>2.33095</c:v>
                </c:pt>
                <c:pt idx="39">
                  <c:v>2.471</c:v>
                </c:pt>
                <c:pt idx="40">
                  <c:v>2.78192</c:v>
                </c:pt>
                <c:pt idx="41">
                  <c:v>2.80755</c:v>
                </c:pt>
                <c:pt idx="42">
                  <c:v>2.85412</c:v>
                </c:pt>
                <c:pt idx="43">
                  <c:v>2.64292</c:v>
                </c:pt>
                <c:pt idx="44">
                  <c:v>2.33206</c:v>
                </c:pt>
                <c:pt idx="45">
                  <c:v>2.49203</c:v>
                </c:pt>
                <c:pt idx="46">
                  <c:v>2.14733</c:v>
                </c:pt>
                <c:pt idx="47">
                  <c:v>2.00238</c:v>
                </c:pt>
                <c:pt idx="48">
                  <c:v>1.48759</c:v>
                </c:pt>
                <c:pt idx="49">
                  <c:v>1.51886</c:v>
                </c:pt>
                <c:pt idx="50">
                  <c:v>1.88319</c:v>
                </c:pt>
                <c:pt idx="51">
                  <c:v>2.00058</c:v>
                </c:pt>
                <c:pt idx="52">
                  <c:v>1.79591</c:v>
                </c:pt>
                <c:pt idx="53">
                  <c:v>1.67119</c:v>
                </c:pt>
                <c:pt idx="54">
                  <c:v>1.82633</c:v>
                </c:pt>
                <c:pt idx="55">
                  <c:v>1.73764</c:v>
                </c:pt>
                <c:pt idx="56">
                  <c:v>1.6845</c:v>
                </c:pt>
                <c:pt idx="57">
                  <c:v>1.73397</c:v>
                </c:pt>
                <c:pt idx="58">
                  <c:v>2.09229</c:v>
                </c:pt>
                <c:pt idx="59">
                  <c:v>2.31953</c:v>
                </c:pt>
                <c:pt idx="60">
                  <c:v>2.59977</c:v>
                </c:pt>
                <c:pt idx="61">
                  <c:v>2.34132</c:v>
                </c:pt>
                <c:pt idx="62">
                  <c:v>1.49404</c:v>
                </c:pt>
                <c:pt idx="63">
                  <c:v>0.31305</c:v>
                </c:pt>
                <c:pt idx="64">
                  <c:v>0.1982</c:v>
                </c:pt>
                <c:pt idx="65">
                  <c:v>0.71666</c:v>
                </c:pt>
                <c:pt idx="66">
                  <c:v>0.99686</c:v>
                </c:pt>
                <c:pt idx="67">
                  <c:v>1.28107</c:v>
                </c:pt>
                <c:pt idx="68">
                  <c:v>1.39102</c:v>
                </c:pt>
                <c:pt idx="69">
                  <c:v>1.23039</c:v>
                </c:pt>
                <c:pt idx="70">
                  <c:v>1.17575</c:v>
                </c:pt>
                <c:pt idx="71">
                  <c:v>1.32042</c:v>
                </c:pt>
                <c:pt idx="72">
                  <c:v>1.35532</c:v>
                </c:pt>
                <c:pt idx="73">
                  <c:v>1.6675</c:v>
                </c:pt>
                <c:pt idx="74">
                  <c:v>2.62365</c:v>
                </c:pt>
                <c:pt idx="75">
                  <c:v>4.13737</c:v>
                </c:pt>
                <c:pt idx="76">
                  <c:v>4.92647</c:v>
                </c:pt>
                <c:pt idx="77">
                  <c:v>5.31742</c:v>
                </c:pt>
                <c:pt idx="78">
                  <c:v>5.26917</c:v>
                </c:pt>
                <c:pt idx="79">
                  <c:v>5.18132</c:v>
                </c:pt>
                <c:pt idx="80">
                  <c:v>5.36352</c:v>
                </c:pt>
                <c:pt idx="81">
                  <c:v>6.22659</c:v>
                </c:pt>
                <c:pt idx="82">
                  <c:v>6.86556</c:v>
                </c:pt>
                <c:pt idx="83">
                  <c:v>7.15946</c:v>
                </c:pt>
                <c:pt idx="84">
                  <c:v>7.57808</c:v>
                </c:pt>
                <c:pt idx="85">
                  <c:v>7.94922</c:v>
                </c:pt>
                <c:pt idx="86">
                  <c:v>8.54078</c:v>
                </c:pt>
                <c:pt idx="87">
                  <c:v>8.23516</c:v>
                </c:pt>
                <c:pt idx="88">
                  <c:v>8.53005</c:v>
                </c:pt>
                <c:pt idx="89">
                  <c:v>8.9993</c:v>
                </c:pt>
                <c:pt idx="90">
                  <c:v>8.44778</c:v>
                </c:pt>
                <c:pt idx="91">
                  <c:v>8.21626</c:v>
                </c:pt>
                <c:pt idx="92">
                  <c:v>8.20575</c:v>
                </c:pt>
                <c:pt idx="93">
                  <c:v>7.75726</c:v>
                </c:pt>
                <c:pt idx="94">
                  <c:v>7.13138</c:v>
                </c:pt>
                <c:pt idx="95">
                  <c:v>6.41083</c:v>
                </c:pt>
                <c:pt idx="96">
                  <c:v>6.3403</c:v>
                </c:pt>
                <c:pt idx="97">
                  <c:v>5.95765</c:v>
                </c:pt>
                <c:pt idx="98">
                  <c:v>4.93135</c:v>
                </c:pt>
                <c:pt idx="99">
                  <c:v>4.94695</c:v>
                </c:pt>
                <c:pt idx="100">
                  <c:v>4.12531</c:v>
                </c:pt>
                <c:pt idx="101">
                  <c:v>3.05925</c:v>
                </c:pt>
                <c:pt idx="102">
                  <c:v>3.28033</c:v>
                </c:pt>
                <c:pt idx="103">
                  <c:v>3.71864</c:v>
                </c:pt>
                <c:pt idx="104">
                  <c:v>3.69508</c:v>
                </c:pt>
                <c:pt idx="105">
                  <c:v>3.24654</c:v>
                </c:pt>
                <c:pt idx="106">
                  <c:v>3.13986</c:v>
                </c:pt>
                <c:pt idx="107">
                  <c:v>3.3222</c:v>
                </c:pt>
                <c:pt idx="108">
                  <c:v>3.10794</c:v>
                </c:pt>
                <c:pt idx="109">
                  <c:v>3.16642</c:v>
                </c:pt>
                <c:pt idx="110">
                  <c:v>3.469</c:v>
                </c:pt>
                <c:pt idx="111">
                  <c:v>3.35405</c:v>
                </c:pt>
                <c:pt idx="112">
                  <c:v>3.23887</c:v>
                </c:pt>
                <c:pt idx="113">
                  <c:v>2.97009</c:v>
                </c:pt>
                <c:pt idx="114">
                  <c:v>2.93846</c:v>
                </c:pt>
                <c:pt idx="115">
                  <c:v>2.61091</c:v>
                </c:pt>
                <c:pt idx="116">
                  <c:v>2.43254</c:v>
                </c:pt>
                <c:pt idx="117">
                  <c:v>2.5714</c:v>
                </c:pt>
                <c:pt idx="118">
                  <c:v>2.71417</c:v>
                </c:pt>
                <c:pt idx="119">
                  <c:v>2.87237</c:v>
                </c:pt>
                <c:pt idx="120">
                  <c:v>2.99941</c:v>
                </c:pt>
                <c:pt idx="121">
                  <c:v>2.81427</c:v>
                </c:pt>
                <c:pt idx="122">
                  <c:v>2.40559</c:v>
                </c:pt>
                <c:pt idx="123">
                  <c:v>2.33375</c:v>
                </c:pt>
                <c:pt idx="124">
                  <c:v>2.37593</c:v>
                </c:pt>
                <c:pt idx="125">
                  <c:v>2.67268</c:v>
                </c:pt>
                <c:pt idx="126">
                  <c:v>2.7318</c:v>
                </c:pt>
                <c:pt idx="127">
                  <c:v>2.93922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32-4CC9-ADA5-ECE7B8D64A8B}"/>
            </c:ext>
          </c:extLst>
        </c:ser>
        <c:ser>
          <c:idx val="3"/>
          <c:order val="3"/>
          <c:tx>
            <c:strRef>
              <c:f>Rates_Inflation_Lagged!$E$1</c:f>
              <c:strCache>
                <c:ptCount val="1"/>
                <c:pt idx="0">
                  <c:v>HICP (YoY 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Rates_Inflation_Lagged!$A$2:$A$129</c:f>
              <c:numCache>
                <c:formatCode>m/d/yyyy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Rates_Inflation_Lagged!$E$2:$E$129</c:f>
              <c:numCache>
                <c:formatCode>0.000</c:formatCode>
                <c:ptCount val="128"/>
                <c:pt idx="0">
                  <c:v>-0.60704</c:v>
                </c:pt>
                <c:pt idx="1">
                  <c:v>-0.29252</c:v>
                </c:pt>
                <c:pt idx="2">
                  <c:v>-0.06995</c:v>
                </c:pt>
                <c:pt idx="3">
                  <c:v>0.20954</c:v>
                </c:pt>
                <c:pt idx="4">
                  <c:v>0.58929</c:v>
                </c:pt>
                <c:pt idx="5">
                  <c:v>0.48888</c:v>
                </c:pt>
                <c:pt idx="6">
                  <c:v>0.54228</c:v>
                </c:pt>
                <c:pt idx="7">
                  <c:v>0.43134</c:v>
                </c:pt>
                <c:pt idx="8">
                  <c:v>0.18975</c:v>
                </c:pt>
                <c:pt idx="9">
                  <c:v>0.38977</c:v>
                </c:pt>
                <c:pt idx="10">
                  <c:v>0.13016</c:v>
                </c:pt>
                <c:pt idx="11">
                  <c:v>0.25055</c:v>
                </c:pt>
                <c:pt idx="12">
                  <c:v>0.32573</c:v>
                </c:pt>
                <c:pt idx="13">
                  <c:v>-0.13151</c:v>
                </c:pt>
                <c:pt idx="14">
                  <c:v>-0.05</c:v>
                </c:pt>
                <c:pt idx="15">
                  <c:v>-0.25889</c:v>
                </c:pt>
                <c:pt idx="16">
                  <c:v>-0.12908</c:v>
                </c:pt>
                <c:pt idx="17">
                  <c:v>0.03971</c:v>
                </c:pt>
                <c:pt idx="18">
                  <c:v>0.15981</c:v>
                </c:pt>
                <c:pt idx="19">
                  <c:v>0.21974</c:v>
                </c:pt>
                <c:pt idx="20">
                  <c:v>0.38876</c:v>
                </c:pt>
                <c:pt idx="21">
                  <c:v>0.49776</c:v>
                </c:pt>
                <c:pt idx="22">
                  <c:v>0.57994</c:v>
                </c:pt>
                <c:pt idx="23">
                  <c:v>1.08967</c:v>
                </c:pt>
                <c:pt idx="24">
                  <c:v>1.72484</c:v>
                </c:pt>
                <c:pt idx="25">
                  <c:v>1.95502</c:v>
                </c:pt>
                <c:pt idx="26">
                  <c:v>1.53077</c:v>
                </c:pt>
                <c:pt idx="27">
                  <c:v>1.88679</c:v>
                </c:pt>
                <c:pt idx="28">
                  <c:v>1.38198</c:v>
                </c:pt>
                <c:pt idx="29">
                  <c:v>1.30012</c:v>
                </c:pt>
                <c:pt idx="30">
                  <c:v>1.33626</c:v>
                </c:pt>
                <c:pt idx="31">
                  <c:v>1.53478</c:v>
                </c:pt>
                <c:pt idx="32">
                  <c:v>1.56886</c:v>
                </c:pt>
                <c:pt idx="33">
                  <c:v>1.37692</c:v>
                </c:pt>
                <c:pt idx="34">
                  <c:v>1.53097</c:v>
                </c:pt>
                <c:pt idx="35">
                  <c:v>1.34494</c:v>
                </c:pt>
                <c:pt idx="36">
                  <c:v>1.28665</c:v>
                </c:pt>
                <c:pt idx="37">
                  <c:v>1.11277</c:v>
                </c:pt>
                <c:pt idx="38">
                  <c:v>1.39929</c:v>
                </c:pt>
                <c:pt idx="39">
                  <c:v>1.23457</c:v>
                </c:pt>
                <c:pt idx="40">
                  <c:v>1.95155</c:v>
                </c:pt>
                <c:pt idx="41">
                  <c:v>1.96924</c:v>
                </c:pt>
                <c:pt idx="42">
                  <c:v>2.19445</c:v>
                </c:pt>
                <c:pt idx="43">
                  <c:v>2.08088</c:v>
                </c:pt>
                <c:pt idx="44">
                  <c:v>2.07254</c:v>
                </c:pt>
                <c:pt idx="45">
                  <c:v>2.27672</c:v>
                </c:pt>
                <c:pt idx="46">
                  <c:v>1.91912</c:v>
                </c:pt>
                <c:pt idx="47">
                  <c:v>1.52225</c:v>
                </c:pt>
                <c:pt idx="48">
                  <c:v>1.38848</c:v>
                </c:pt>
                <c:pt idx="49">
                  <c:v>1.48374</c:v>
                </c:pt>
                <c:pt idx="50">
                  <c:v>1.39942</c:v>
                </c:pt>
                <c:pt idx="51">
                  <c:v>1.71312</c:v>
                </c:pt>
                <c:pt idx="52">
                  <c:v>1.22162</c:v>
                </c:pt>
                <c:pt idx="53">
                  <c:v>1.26826</c:v>
                </c:pt>
                <c:pt idx="54">
                  <c:v>1.0207</c:v>
                </c:pt>
                <c:pt idx="55">
                  <c:v>1.00962</c:v>
                </c:pt>
                <c:pt idx="56">
                  <c:v>0.83325</c:v>
                </c:pt>
                <c:pt idx="57">
                  <c:v>0.72609</c:v>
                </c:pt>
                <c:pt idx="58">
                  <c:v>0.96071</c:v>
                </c:pt>
                <c:pt idx="59">
                  <c:v>1.32641</c:v>
                </c:pt>
                <c:pt idx="60">
                  <c:v>1.36946</c:v>
                </c:pt>
                <c:pt idx="61">
                  <c:v>1.22967</c:v>
                </c:pt>
                <c:pt idx="62">
                  <c:v>0.74756</c:v>
                </c:pt>
                <c:pt idx="63">
                  <c:v>0.31402</c:v>
                </c:pt>
                <c:pt idx="64">
                  <c:v>0.08553</c:v>
                </c:pt>
                <c:pt idx="65">
                  <c:v>0.26565</c:v>
                </c:pt>
                <c:pt idx="66">
                  <c:v>0.38128</c:v>
                </c:pt>
                <c:pt idx="67">
                  <c:v>-0.17135</c:v>
                </c:pt>
                <c:pt idx="68">
                  <c:v>-0.31345</c:v>
                </c:pt>
                <c:pt idx="69">
                  <c:v>-0.27506</c:v>
                </c:pt>
                <c:pt idx="70">
                  <c:v>-0.28547</c:v>
                </c:pt>
                <c:pt idx="71">
                  <c:v>-0.27509</c:v>
                </c:pt>
                <c:pt idx="72">
                  <c:v>0.90064</c:v>
                </c:pt>
                <c:pt idx="73">
                  <c:v>0.93735</c:v>
                </c:pt>
                <c:pt idx="74">
                  <c:v>1.33181</c:v>
                </c:pt>
                <c:pt idx="75">
                  <c:v>1.6126</c:v>
                </c:pt>
                <c:pt idx="76">
                  <c:v>1.97493</c:v>
                </c:pt>
                <c:pt idx="77">
                  <c:v>1.90197</c:v>
                </c:pt>
                <c:pt idx="78">
                  <c:v>2.17453</c:v>
                </c:pt>
                <c:pt idx="79">
                  <c:v>2.95604</c:v>
                </c:pt>
                <c:pt idx="80">
                  <c:v>3.36351</c:v>
                </c:pt>
                <c:pt idx="81">
                  <c:v>4.05174</c:v>
                </c:pt>
                <c:pt idx="82">
                  <c:v>4.86688</c:v>
                </c:pt>
                <c:pt idx="83">
                  <c:v>4.97479</c:v>
                </c:pt>
                <c:pt idx="84">
                  <c:v>5.10873</c:v>
                </c:pt>
                <c:pt idx="85">
                  <c:v>5.87511</c:v>
                </c:pt>
                <c:pt idx="86">
                  <c:v>7.44461</c:v>
                </c:pt>
                <c:pt idx="87">
                  <c:v>7.45892</c:v>
                </c:pt>
                <c:pt idx="88">
                  <c:v>8.07263</c:v>
                </c:pt>
                <c:pt idx="89">
                  <c:v>8.66376</c:v>
                </c:pt>
                <c:pt idx="90">
                  <c:v>8.88476</c:v>
                </c:pt>
                <c:pt idx="91">
                  <c:v>9.16921</c:v>
                </c:pt>
                <c:pt idx="92">
                  <c:v>9.94653</c:v>
                </c:pt>
                <c:pt idx="93">
                  <c:v>10.63985</c:v>
                </c:pt>
                <c:pt idx="94">
                  <c:v>10.07371</c:v>
                </c:pt>
                <c:pt idx="95">
                  <c:v>9.2153</c:v>
                </c:pt>
                <c:pt idx="96">
                  <c:v>8.66384</c:v>
                </c:pt>
                <c:pt idx="97">
                  <c:v>8.52054</c:v>
                </c:pt>
                <c:pt idx="98">
                  <c:v>6.90258</c:v>
                </c:pt>
                <c:pt idx="99">
                  <c:v>6.96725</c:v>
                </c:pt>
                <c:pt idx="100">
                  <c:v>6.117</c:v>
                </c:pt>
                <c:pt idx="101">
                  <c:v>5.52042</c:v>
                </c:pt>
                <c:pt idx="102">
                  <c:v>5.30044</c:v>
                </c:pt>
                <c:pt idx="103">
                  <c:v>5.23458</c:v>
                </c:pt>
                <c:pt idx="104">
                  <c:v>4.3347</c:v>
                </c:pt>
                <c:pt idx="105">
                  <c:v>2.89987</c:v>
                </c:pt>
                <c:pt idx="106">
                  <c:v>2.39749</c:v>
                </c:pt>
                <c:pt idx="107">
                  <c:v>2.92873</c:v>
                </c:pt>
                <c:pt idx="108">
                  <c:v>2.77685</c:v>
                </c:pt>
                <c:pt idx="109">
                  <c:v>2.58144</c:v>
                </c:pt>
                <c:pt idx="110">
                  <c:v>2.42746</c:v>
                </c:pt>
                <c:pt idx="111">
                  <c:v>2.37148</c:v>
                </c:pt>
                <c:pt idx="112">
                  <c:v>2.55744</c:v>
                </c:pt>
                <c:pt idx="113">
                  <c:v>2.51863</c:v>
                </c:pt>
                <c:pt idx="114">
                  <c:v>2.58572</c:v>
                </c:pt>
                <c:pt idx="115">
                  <c:v>2.16866</c:v>
                </c:pt>
                <c:pt idx="116">
                  <c:v>1.74381</c:v>
                </c:pt>
                <c:pt idx="117">
                  <c:v>2.00723</c:v>
                </c:pt>
                <c:pt idx="118">
                  <c:v>2.2364</c:v>
                </c:pt>
                <c:pt idx="119">
                  <c:v>2.43431</c:v>
                </c:pt>
                <c:pt idx="120">
                  <c:v>2.51577</c:v>
                </c:pt>
                <c:pt idx="121">
                  <c:v>2.33156</c:v>
                </c:pt>
                <c:pt idx="122">
                  <c:v>2.17842</c:v>
                </c:pt>
                <c:pt idx="123">
                  <c:v>2.16581</c:v>
                </c:pt>
                <c:pt idx="124">
                  <c:v>1.89994</c:v>
                </c:pt>
                <c:pt idx="125">
                  <c:v>1.99068</c:v>
                </c:pt>
                <c:pt idx="126">
                  <c:v>2.03066</c:v>
                </c:pt>
                <c:pt idx="127">
                  <c:v>2.04371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32-4CC9-ADA5-ECE7B8D64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5452431"/>
        <c:axId val="1745449551"/>
      </c:lineChart>
      <c:dateAx>
        <c:axId val="1745452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49551"/>
        <c:crosses val="autoZero"/>
        <c:auto val="1"/>
        <c:lblOffset val="100"/>
        <c:baseTimeUnit val="months"/>
      </c:dateAx>
      <c:valAx>
        <c:axId val="17454495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Policy</a:t>
                </a:r>
                <a:r>
                  <a:rPr lang="en-US" baseline="0"/>
                  <a:t> Rate / Inflation YoY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5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Panel A: Cushion vs. Burden: U.S. and Euro Area Households (2015–2025)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U.S. Households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Household_Panel!$B$2:$B$42</c:f>
              <c:numCache>
                <c:formatCode>0.0</c:formatCode>
                <c:ptCount val="41"/>
                <c:pt idx="0">
                  <c:v>6.2</c:v>
                </c:pt>
                <c:pt idx="1">
                  <c:v>5.8</c:v>
                </c:pt>
                <c:pt idx="2">
                  <c:v>5.7</c:v>
                </c:pt>
                <c:pt idx="3">
                  <c:v>5.7</c:v>
                </c:pt>
                <c:pt idx="4">
                  <c:v>5.9</c:v>
                </c:pt>
                <c:pt idx="5">
                  <c:v>5.2</c:v>
                </c:pt>
                <c:pt idx="6">
                  <c:v>5.1</c:v>
                </c:pt>
                <c:pt idx="7">
                  <c:v>5.2</c:v>
                </c:pt>
                <c:pt idx="8">
                  <c:v>5.5</c:v>
                </c:pt>
                <c:pt idx="9">
                  <c:v>6</c:v>
                </c:pt>
                <c:pt idx="10">
                  <c:v>6</c:v>
                </c:pt>
                <c:pt idx="11">
                  <c:v>5.5</c:v>
                </c:pt>
                <c:pt idx="12">
                  <c:v>5.8</c:v>
                </c:pt>
                <c:pt idx="13">
                  <c:v>6.1</c:v>
                </c:pt>
                <c:pt idx="14">
                  <c:v>6.6</c:v>
                </c:pt>
                <c:pt idx="15">
                  <c:v>7.2</c:v>
                </c:pt>
                <c:pt idx="16">
                  <c:v>8.3</c:v>
                </c:pt>
                <c:pt idx="17">
                  <c:v>7.3</c:v>
                </c:pt>
                <c:pt idx="18">
                  <c:v>6.9</c:v>
                </c:pt>
                <c:pt idx="19">
                  <c:v>6.7</c:v>
                </c:pt>
                <c:pt idx="20">
                  <c:v>8.9</c:v>
                </c:pt>
                <c:pt idx="21">
                  <c:v>24.2</c:v>
                </c:pt>
                <c:pt idx="22">
                  <c:v>15</c:v>
                </c:pt>
                <c:pt idx="23">
                  <c:v>12.2</c:v>
                </c:pt>
                <c:pt idx="24">
                  <c:v>19.6</c:v>
                </c:pt>
                <c:pt idx="25">
                  <c:v>10.4</c:v>
                </c:pt>
                <c:pt idx="26">
                  <c:v>8.6</c:v>
                </c:pt>
                <c:pt idx="27">
                  <c:v>6.7</c:v>
                </c:pt>
                <c:pt idx="28">
                  <c:v>3.8</c:v>
                </c:pt>
                <c:pt idx="29">
                  <c:v>2.5</c:v>
                </c:pt>
                <c:pt idx="30">
                  <c:v>3.3</c:v>
                </c:pt>
                <c:pt idx="31">
                  <c:v>3.8</c:v>
                </c:pt>
                <c:pt idx="32">
                  <c:v>5.5</c:v>
                </c:pt>
                <c:pt idx="33">
                  <c:v>5.9</c:v>
                </c:pt>
                <c:pt idx="34">
                  <c:v>5.5</c:v>
                </c:pt>
                <c:pt idx="35">
                  <c:v>5.5</c:v>
                </c:pt>
                <c:pt idx="36">
                  <c:v>6.1</c:v>
                </c:pt>
                <c:pt idx="37">
                  <c:v>5.8</c:v>
                </c:pt>
                <c:pt idx="38">
                  <c:v>5.1</c:v>
                </c:pt>
                <c:pt idx="39">
                  <c:v>4.7</c:v>
                </c:pt>
                <c:pt idx="40">
                  <c:v>5.1</c:v>
                </c:pt>
              </c:numCache>
            </c:numRef>
          </c:xVal>
          <c:yVal>
            <c:numRef>
              <c:f>Household_Panel!$D$2:$D$42</c:f>
              <c:numCache>
                <c:formatCode>0.0</c:formatCode>
                <c:ptCount val="41"/>
                <c:pt idx="0">
                  <c:v>77.5770319759497</c:v>
                </c:pt>
                <c:pt idx="1">
                  <c:v>78.2785569827822</c:v>
                </c:pt>
                <c:pt idx="2">
                  <c:v>78.9417600437278</c:v>
                </c:pt>
                <c:pt idx="3">
                  <c:v>78.9769499863351</c:v>
                </c:pt>
                <c:pt idx="4">
                  <c:v>76.9350541614154</c:v>
                </c:pt>
                <c:pt idx="5">
                  <c:v>77.6255816303198</c:v>
                </c:pt>
                <c:pt idx="6">
                  <c:v>78.5171683975985</c:v>
                </c:pt>
                <c:pt idx="7">
                  <c:v>79.060260889449</c:v>
                </c:pt>
                <c:pt idx="8">
                  <c:v>76.0957776066816</c:v>
                </c:pt>
                <c:pt idx="9">
                  <c:v>76.8818739451665</c:v>
                </c:pt>
                <c:pt idx="10">
                  <c:v>77.6373514310043</c:v>
                </c:pt>
                <c:pt idx="11">
                  <c:v>78.6250936921594</c:v>
                </c:pt>
                <c:pt idx="12">
                  <c:v>74.8970410076235</c:v>
                </c:pt>
                <c:pt idx="13">
                  <c:v>75.5056041613969</c:v>
                </c:pt>
                <c:pt idx="14">
                  <c:v>76.3166892785694</c:v>
                </c:pt>
                <c:pt idx="15">
                  <c:v>76.9569034481841</c:v>
                </c:pt>
                <c:pt idx="16">
                  <c:v>73.9402158080499</c:v>
                </c:pt>
                <c:pt idx="17">
                  <c:v>74.8870832022785</c:v>
                </c:pt>
                <c:pt idx="18">
                  <c:v>75.8312718561651</c:v>
                </c:pt>
                <c:pt idx="19">
                  <c:v>76.7298105034941</c:v>
                </c:pt>
                <c:pt idx="20">
                  <c:v>77.6948996973653</c:v>
                </c:pt>
                <c:pt idx="21">
                  <c:v>77.7282937137438</c:v>
                </c:pt>
                <c:pt idx="22">
                  <c:v>78.9393524670292</c:v>
                </c:pt>
                <c:pt idx="23">
                  <c:v>80.2059461579437</c:v>
                </c:pt>
                <c:pt idx="24">
                  <c:v>73.025181394082</c:v>
                </c:pt>
                <c:pt idx="25">
                  <c:v>76.0511081059111</c:v>
                </c:pt>
                <c:pt idx="26">
                  <c:v>77.5131090412532</c:v>
                </c:pt>
                <c:pt idx="27">
                  <c:v>79.1382564420896</c:v>
                </c:pt>
                <c:pt idx="28">
                  <c:v>73.1901687629052</c:v>
                </c:pt>
                <c:pt idx="29">
                  <c:v>74.5998754176776</c:v>
                </c:pt>
                <c:pt idx="30">
                  <c:v>75.8374815914238</c:v>
                </c:pt>
                <c:pt idx="31">
                  <c:v>76.6457286335549</c:v>
                </c:pt>
                <c:pt idx="32">
                  <c:v>72.0240217382482</c:v>
                </c:pt>
                <c:pt idx="33">
                  <c:v>72.6295903155491</c:v>
                </c:pt>
                <c:pt idx="34">
                  <c:v>73.2746455945867</c:v>
                </c:pt>
                <c:pt idx="35">
                  <c:v>73.8734647091662</c:v>
                </c:pt>
                <c:pt idx="36">
                  <c:v>70.4049320025081</c:v>
                </c:pt>
                <c:pt idx="37">
                  <c:v>70.9649442005969</c:v>
                </c:pt>
                <c:pt idx="38">
                  <c:v>71.5557325877423</c:v>
                </c:pt>
                <c:pt idx="39">
                  <c:v>71.3997272562181</c:v>
                </c:pt>
                <c:pt idx="40">
                  <c:v>68.1002432909229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89-4ABD-8DE0-DD759661C88E}"/>
            </c:ext>
          </c:extLst>
        </c:ser>
        <c:ser>
          <c:idx val="1"/>
          <c:order val="1"/>
          <c:tx>
            <c:v>Euro Area Households</c:v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Household_Panel!$C$2:$C$42</c:f>
              <c:numCache>
                <c:formatCode>0.0</c:formatCode>
                <c:ptCount val="41"/>
                <c:pt idx="0">
                  <c:v>12.4</c:v>
                </c:pt>
                <c:pt idx="1">
                  <c:v>12.52</c:v>
                </c:pt>
                <c:pt idx="2">
                  <c:v>12.44</c:v>
                </c:pt>
                <c:pt idx="3">
                  <c:v>12.53</c:v>
                </c:pt>
                <c:pt idx="4">
                  <c:v>12.55</c:v>
                </c:pt>
                <c:pt idx="5">
                  <c:v>12.67</c:v>
                </c:pt>
                <c:pt idx="6">
                  <c:v>12.65</c:v>
                </c:pt>
                <c:pt idx="7">
                  <c:v>12.55</c:v>
                </c:pt>
                <c:pt idx="8">
                  <c:v>12.46</c:v>
                </c:pt>
                <c:pt idx="9">
                  <c:v>12.51</c:v>
                </c:pt>
                <c:pt idx="10">
                  <c:v>12.41</c:v>
                </c:pt>
                <c:pt idx="11">
                  <c:v>12.47</c:v>
                </c:pt>
                <c:pt idx="12">
                  <c:v>12.44</c:v>
                </c:pt>
                <c:pt idx="13">
                  <c:v>12.49</c:v>
                </c:pt>
                <c:pt idx="14">
                  <c:v>12.46</c:v>
                </c:pt>
                <c:pt idx="15">
                  <c:v>12.52</c:v>
                </c:pt>
                <c:pt idx="16">
                  <c:v>12.68</c:v>
                </c:pt>
                <c:pt idx="17">
                  <c:v>12.91</c:v>
                </c:pt>
                <c:pt idx="18">
                  <c:v>13.04</c:v>
                </c:pt>
                <c:pt idx="19">
                  <c:v>13.02</c:v>
                </c:pt>
                <c:pt idx="20">
                  <c:v>13.94</c:v>
                </c:pt>
                <c:pt idx="21">
                  <c:v>16.72</c:v>
                </c:pt>
                <c:pt idx="22">
                  <c:v>17.71</c:v>
                </c:pt>
                <c:pt idx="23">
                  <c:v>19.38</c:v>
                </c:pt>
                <c:pt idx="24">
                  <c:v>20.35</c:v>
                </c:pt>
                <c:pt idx="25">
                  <c:v>18.99</c:v>
                </c:pt>
                <c:pt idx="26">
                  <c:v>18.46</c:v>
                </c:pt>
                <c:pt idx="27">
                  <c:v>17.28</c:v>
                </c:pt>
                <c:pt idx="28">
                  <c:v>15.77</c:v>
                </c:pt>
                <c:pt idx="29">
                  <c:v>14.48</c:v>
                </c:pt>
                <c:pt idx="30">
                  <c:v>13.95</c:v>
                </c:pt>
                <c:pt idx="31">
                  <c:v>13.56</c:v>
                </c:pt>
                <c:pt idx="32">
                  <c:v>13.41</c:v>
                </c:pt>
                <c:pt idx="33">
                  <c:v>13.75</c:v>
                </c:pt>
                <c:pt idx="34">
                  <c:v>13.94</c:v>
                </c:pt>
                <c:pt idx="35">
                  <c:v>14.23</c:v>
                </c:pt>
                <c:pt idx="36">
                  <c:v>14.56</c:v>
                </c:pt>
                <c:pt idx="37">
                  <c:v>14.89</c:v>
                </c:pt>
                <c:pt idx="38">
                  <c:v>15.13</c:v>
                </c:pt>
                <c:pt idx="39">
                  <c:v>15.19</c:v>
                </c:pt>
                <c:pt idx="40">
                  <c:v>15.19</c:v>
                </c:pt>
              </c:numCache>
            </c:numRef>
          </c:xVal>
          <c:yVal>
            <c:numRef>
              <c:f>Household_Panel!$E$2:$E$42</c:f>
              <c:numCache>
                <c:formatCode>General</c:formatCode>
                <c:ptCount val="41"/>
                <c:pt idx="0">
                  <c:v>59.5</c:v>
                </c:pt>
                <c:pt idx="1">
                  <c:v>59.2</c:v>
                </c:pt>
                <c:pt idx="2">
                  <c:v>58.8</c:v>
                </c:pt>
                <c:pt idx="3">
                  <c:v>58.6</c:v>
                </c:pt>
                <c:pt idx="4">
                  <c:v>58.1</c:v>
                </c:pt>
                <c:pt idx="5">
                  <c:v>58.2</c:v>
                </c:pt>
                <c:pt idx="6">
                  <c:v>58.1</c:v>
                </c:pt>
                <c:pt idx="7">
                  <c:v>58</c:v>
                </c:pt>
                <c:pt idx="8">
                  <c:v>58.1</c:v>
                </c:pt>
                <c:pt idx="9">
                  <c:v>58</c:v>
                </c:pt>
                <c:pt idx="10">
                  <c:v>57.7</c:v>
                </c:pt>
                <c:pt idx="11">
                  <c:v>57.5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  <c:pt idx="15">
                  <c:v>57</c:v>
                </c:pt>
                <c:pt idx="16">
                  <c:v>56.8</c:v>
                </c:pt>
                <c:pt idx="17">
                  <c:v>56.9</c:v>
                </c:pt>
                <c:pt idx="18">
                  <c:v>56.9</c:v>
                </c:pt>
                <c:pt idx="19">
                  <c:v>57</c:v>
                </c:pt>
                <c:pt idx="20">
                  <c:v>57</c:v>
                </c:pt>
                <c:pt idx="21">
                  <c:v>59.2</c:v>
                </c:pt>
                <c:pt idx="22">
                  <c:v>60.1</c:v>
                </c:pt>
                <c:pt idx="23">
                  <c:v>61.2</c:v>
                </c:pt>
                <c:pt idx="24">
                  <c:v>61.4</c:v>
                </c:pt>
                <c:pt idx="25">
                  <c:v>60</c:v>
                </c:pt>
                <c:pt idx="26">
                  <c:v>59.4</c:v>
                </c:pt>
                <c:pt idx="27">
                  <c:v>58.7</c:v>
                </c:pt>
                <c:pt idx="28">
                  <c:v>58</c:v>
                </c:pt>
                <c:pt idx="29">
                  <c:v>57.6</c:v>
                </c:pt>
                <c:pt idx="30">
                  <c:v>56.9</c:v>
                </c:pt>
                <c:pt idx="31">
                  <c:v>56</c:v>
                </c:pt>
                <c:pt idx="32">
                  <c:v>54.9</c:v>
                </c:pt>
                <c:pt idx="33">
                  <c:v>54.2</c:v>
                </c:pt>
                <c:pt idx="34">
                  <c:v>53.5</c:v>
                </c:pt>
                <c:pt idx="35">
                  <c:v>52.8</c:v>
                </c:pt>
                <c:pt idx="36">
                  <c:v>52.2</c:v>
                </c:pt>
                <c:pt idx="37">
                  <c:v>52</c:v>
                </c:pt>
                <c:pt idx="38">
                  <c:v>51.7</c:v>
                </c:pt>
                <c:pt idx="39">
                  <c:v>51.4</c:v>
                </c:pt>
                <c:pt idx="40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89-4ABD-8DE0-DD759661C88E}"/>
            </c:ext>
          </c:extLst>
        </c:ser>
        <c:ser>
          <c:idx val="2"/>
          <c:order val="2"/>
          <c:tx>
            <c:v>Vertival Crosshair</c:v>
          </c:tx>
          <c:spPr>
            <a:ln w="25400" cap="rnd">
              <a:solidFill>
                <a:schemeClr val="accent5"/>
              </a:solidFill>
              <a:prstDash val="sysDash"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50</c:v>
              </c:pt>
              <c:pt idx="1">
                <c:v>85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189-4ABD-8DE0-DD759661C88E}"/>
            </c:ext>
          </c:extLst>
        </c:ser>
        <c:ser>
          <c:idx val="3"/>
          <c:order val="3"/>
          <c:tx>
            <c:v>Horizontal Crosshair</c:v>
          </c:tx>
          <c:spPr>
            <a:ln w="25400" cap="rnd">
              <a:solidFill>
                <a:schemeClr val="accent5"/>
              </a:solidFill>
              <a:prstDash val="sysDash"/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25</c:v>
              </c:pt>
            </c:numLit>
          </c:xVal>
          <c:yVal>
            <c:numLit>
              <c:formatCode>General</c:formatCode>
              <c:ptCount val="2"/>
              <c:pt idx="0">
                <c:v>65</c:v>
              </c:pt>
              <c:pt idx="1">
                <c:v>65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189-4ABD-8DE0-DD759661C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030048"/>
        <c:axId val="357028128"/>
      </c:scatterChart>
      <c:valAx>
        <c:axId val="357030048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Household</a:t>
                </a:r>
                <a:r>
                  <a:rPr lang="en-US" baseline="0"/>
                  <a:t> Savings Rate (% of Disposable income)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28128"/>
        <c:crosses val="autoZero"/>
        <c:crossBetween val="midCat"/>
      </c:valAx>
      <c:valAx>
        <c:axId val="35702812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Household</a:t>
                </a:r>
                <a:r>
                  <a:rPr lang="en-US" baseline="0"/>
                  <a:t> Debt-to-GDP(%)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3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Panel B: Headline Success: Inflation Back to 2%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Inflation!$B$1</c:f>
              <c:strCache>
                <c:ptCount val="1"/>
                <c:pt idx="0">
                  <c:v>U.S. Inflation (CPI, YoY %)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Inflation!$A$2:$A$129</c:f>
              <c:numCache>
                <c:formatCode>m/d/yyyy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Inflation!$B$2:$B$129</c:f>
              <c:numCache>
                <c:formatCode>0.000</c:formatCode>
                <c:ptCount val="128"/>
                <c:pt idx="0">
                  <c:v>-0.22993</c:v>
                </c:pt>
                <c:pt idx="1">
                  <c:v>-0.08703</c:v>
                </c:pt>
                <c:pt idx="2">
                  <c:v>-0.02203</c:v>
                </c:pt>
                <c:pt idx="3">
                  <c:v>-0.10403</c:v>
                </c:pt>
                <c:pt idx="4">
                  <c:v>0.03503</c:v>
                </c:pt>
                <c:pt idx="5">
                  <c:v>0.17957</c:v>
                </c:pt>
                <c:pt idx="6">
                  <c:v>0.22569</c:v>
                </c:pt>
                <c:pt idx="7">
                  <c:v>0.2413</c:v>
                </c:pt>
                <c:pt idx="8">
                  <c:v>0.00884</c:v>
                </c:pt>
                <c:pt idx="9">
                  <c:v>0.12762</c:v>
                </c:pt>
                <c:pt idx="10">
                  <c:v>0.43632</c:v>
                </c:pt>
                <c:pt idx="11">
                  <c:v>0.63872</c:v>
                </c:pt>
                <c:pt idx="12">
                  <c:v>1.2375</c:v>
                </c:pt>
                <c:pt idx="13">
                  <c:v>0.84728</c:v>
                </c:pt>
                <c:pt idx="14">
                  <c:v>0.89162</c:v>
                </c:pt>
                <c:pt idx="15">
                  <c:v>1.17263</c:v>
                </c:pt>
                <c:pt idx="16">
                  <c:v>1.07848</c:v>
                </c:pt>
                <c:pt idx="17">
                  <c:v>1.07929</c:v>
                </c:pt>
                <c:pt idx="18">
                  <c:v>0.86836</c:v>
                </c:pt>
                <c:pt idx="19">
                  <c:v>1.05532</c:v>
                </c:pt>
                <c:pt idx="20">
                  <c:v>1.54864</c:v>
                </c:pt>
                <c:pt idx="21">
                  <c:v>1.68592</c:v>
                </c:pt>
                <c:pt idx="22">
                  <c:v>1.68433</c:v>
                </c:pt>
                <c:pt idx="23">
                  <c:v>2.0508</c:v>
                </c:pt>
                <c:pt idx="24">
                  <c:v>2.51039</c:v>
                </c:pt>
                <c:pt idx="25">
                  <c:v>2.81036</c:v>
                </c:pt>
                <c:pt idx="26">
                  <c:v>2.4412</c:v>
                </c:pt>
                <c:pt idx="27">
                  <c:v>2.17622</c:v>
                </c:pt>
                <c:pt idx="28">
                  <c:v>1.85634</c:v>
                </c:pt>
                <c:pt idx="29">
                  <c:v>1.64057</c:v>
                </c:pt>
                <c:pt idx="30">
                  <c:v>1.72511</c:v>
                </c:pt>
                <c:pt idx="31">
                  <c:v>1.92812</c:v>
                </c:pt>
                <c:pt idx="32">
                  <c:v>2.18057</c:v>
                </c:pt>
                <c:pt idx="33">
                  <c:v>2.02076</c:v>
                </c:pt>
                <c:pt idx="34">
                  <c:v>2.17249</c:v>
                </c:pt>
                <c:pt idx="35">
                  <c:v>2.12993</c:v>
                </c:pt>
                <c:pt idx="36">
                  <c:v>2.15132</c:v>
                </c:pt>
                <c:pt idx="37">
                  <c:v>2.26347</c:v>
                </c:pt>
                <c:pt idx="38">
                  <c:v>2.33095</c:v>
                </c:pt>
                <c:pt idx="39">
                  <c:v>2.471</c:v>
                </c:pt>
                <c:pt idx="40">
                  <c:v>2.78192</c:v>
                </c:pt>
                <c:pt idx="41">
                  <c:v>2.80755</c:v>
                </c:pt>
                <c:pt idx="42">
                  <c:v>2.85412</c:v>
                </c:pt>
                <c:pt idx="43">
                  <c:v>2.64292</c:v>
                </c:pt>
                <c:pt idx="44">
                  <c:v>2.33206</c:v>
                </c:pt>
                <c:pt idx="45">
                  <c:v>2.49203</c:v>
                </c:pt>
                <c:pt idx="46">
                  <c:v>2.14733</c:v>
                </c:pt>
                <c:pt idx="47">
                  <c:v>2.00238</c:v>
                </c:pt>
                <c:pt idx="48">
                  <c:v>1.48759</c:v>
                </c:pt>
                <c:pt idx="49">
                  <c:v>1.51886</c:v>
                </c:pt>
                <c:pt idx="50">
                  <c:v>1.88319</c:v>
                </c:pt>
                <c:pt idx="51">
                  <c:v>2.00058</c:v>
                </c:pt>
                <c:pt idx="52">
                  <c:v>1.79591</c:v>
                </c:pt>
                <c:pt idx="53">
                  <c:v>1.67119</c:v>
                </c:pt>
                <c:pt idx="54">
                  <c:v>1.82633</c:v>
                </c:pt>
                <c:pt idx="55">
                  <c:v>1.73764</c:v>
                </c:pt>
                <c:pt idx="56">
                  <c:v>1.6845</c:v>
                </c:pt>
                <c:pt idx="57">
                  <c:v>1.73397</c:v>
                </c:pt>
                <c:pt idx="58">
                  <c:v>2.09229</c:v>
                </c:pt>
                <c:pt idx="59">
                  <c:v>2.31953</c:v>
                </c:pt>
                <c:pt idx="60">
                  <c:v>2.59977</c:v>
                </c:pt>
                <c:pt idx="61">
                  <c:v>2.34132</c:v>
                </c:pt>
                <c:pt idx="62">
                  <c:v>1.49404</c:v>
                </c:pt>
                <c:pt idx="63">
                  <c:v>0.31305</c:v>
                </c:pt>
                <c:pt idx="64">
                  <c:v>0.1982</c:v>
                </c:pt>
                <c:pt idx="65">
                  <c:v>0.71666</c:v>
                </c:pt>
                <c:pt idx="66">
                  <c:v>0.99686</c:v>
                </c:pt>
                <c:pt idx="67">
                  <c:v>1.28107</c:v>
                </c:pt>
                <c:pt idx="68">
                  <c:v>1.39102</c:v>
                </c:pt>
                <c:pt idx="69">
                  <c:v>1.23039</c:v>
                </c:pt>
                <c:pt idx="70">
                  <c:v>1.17575</c:v>
                </c:pt>
                <c:pt idx="71">
                  <c:v>1.32042</c:v>
                </c:pt>
                <c:pt idx="72">
                  <c:v>1.35532</c:v>
                </c:pt>
                <c:pt idx="73">
                  <c:v>1.6675</c:v>
                </c:pt>
                <c:pt idx="74">
                  <c:v>2.62365</c:v>
                </c:pt>
                <c:pt idx="75">
                  <c:v>4.13737</c:v>
                </c:pt>
                <c:pt idx="76">
                  <c:v>4.92647</c:v>
                </c:pt>
                <c:pt idx="77">
                  <c:v>5.31742</c:v>
                </c:pt>
                <c:pt idx="78">
                  <c:v>5.26917</c:v>
                </c:pt>
                <c:pt idx="79">
                  <c:v>5.18132</c:v>
                </c:pt>
                <c:pt idx="80">
                  <c:v>5.36352</c:v>
                </c:pt>
                <c:pt idx="81">
                  <c:v>6.22659</c:v>
                </c:pt>
                <c:pt idx="82">
                  <c:v>6.86556</c:v>
                </c:pt>
                <c:pt idx="83">
                  <c:v>7.15946</c:v>
                </c:pt>
                <c:pt idx="84">
                  <c:v>7.57808</c:v>
                </c:pt>
                <c:pt idx="85">
                  <c:v>7.94922</c:v>
                </c:pt>
                <c:pt idx="86">
                  <c:v>8.54078</c:v>
                </c:pt>
                <c:pt idx="87">
                  <c:v>8.23516</c:v>
                </c:pt>
                <c:pt idx="88">
                  <c:v>8.53005</c:v>
                </c:pt>
                <c:pt idx="89">
                  <c:v>8.9993</c:v>
                </c:pt>
                <c:pt idx="90">
                  <c:v>8.44778</c:v>
                </c:pt>
                <c:pt idx="91">
                  <c:v>8.21626</c:v>
                </c:pt>
                <c:pt idx="92">
                  <c:v>8.20575</c:v>
                </c:pt>
                <c:pt idx="93">
                  <c:v>7.75726</c:v>
                </c:pt>
                <c:pt idx="94">
                  <c:v>7.13138</c:v>
                </c:pt>
                <c:pt idx="95">
                  <c:v>6.41083</c:v>
                </c:pt>
                <c:pt idx="96">
                  <c:v>6.3403</c:v>
                </c:pt>
                <c:pt idx="97">
                  <c:v>5.95765</c:v>
                </c:pt>
                <c:pt idx="98">
                  <c:v>4.93135</c:v>
                </c:pt>
                <c:pt idx="99">
                  <c:v>4.94695</c:v>
                </c:pt>
                <c:pt idx="100">
                  <c:v>4.12531</c:v>
                </c:pt>
                <c:pt idx="101">
                  <c:v>3.05925</c:v>
                </c:pt>
                <c:pt idx="102">
                  <c:v>3.28033</c:v>
                </c:pt>
                <c:pt idx="103">
                  <c:v>3.71864</c:v>
                </c:pt>
                <c:pt idx="104">
                  <c:v>3.69508</c:v>
                </c:pt>
                <c:pt idx="105">
                  <c:v>3.24654</c:v>
                </c:pt>
                <c:pt idx="106">
                  <c:v>3.13986</c:v>
                </c:pt>
                <c:pt idx="107">
                  <c:v>3.3222</c:v>
                </c:pt>
                <c:pt idx="108">
                  <c:v>3.10794</c:v>
                </c:pt>
                <c:pt idx="109">
                  <c:v>3.16642</c:v>
                </c:pt>
                <c:pt idx="110">
                  <c:v>3.469</c:v>
                </c:pt>
                <c:pt idx="111">
                  <c:v>3.35405</c:v>
                </c:pt>
                <c:pt idx="112">
                  <c:v>3.23887</c:v>
                </c:pt>
                <c:pt idx="113">
                  <c:v>2.97009</c:v>
                </c:pt>
                <c:pt idx="114">
                  <c:v>2.93846</c:v>
                </c:pt>
                <c:pt idx="115">
                  <c:v>2.61091</c:v>
                </c:pt>
                <c:pt idx="116">
                  <c:v>2.43254</c:v>
                </c:pt>
                <c:pt idx="117">
                  <c:v>2.5714</c:v>
                </c:pt>
                <c:pt idx="118">
                  <c:v>2.71417</c:v>
                </c:pt>
                <c:pt idx="119">
                  <c:v>2.87237</c:v>
                </c:pt>
                <c:pt idx="120">
                  <c:v>2.99941</c:v>
                </c:pt>
                <c:pt idx="121">
                  <c:v>2.81427</c:v>
                </c:pt>
                <c:pt idx="122">
                  <c:v>2.40559</c:v>
                </c:pt>
                <c:pt idx="123">
                  <c:v>2.33375</c:v>
                </c:pt>
                <c:pt idx="124">
                  <c:v>2.37593</c:v>
                </c:pt>
                <c:pt idx="125">
                  <c:v>2.67268</c:v>
                </c:pt>
                <c:pt idx="126">
                  <c:v>2.7318</c:v>
                </c:pt>
                <c:pt idx="127">
                  <c:v>2.93922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C7-4DFD-A0F5-D2D5D280ED2B}"/>
            </c:ext>
          </c:extLst>
        </c:ser>
        <c:ser>
          <c:idx val="1"/>
          <c:order val="1"/>
          <c:tx>
            <c:strRef>
              <c:f>Inflation!$C$1</c:f>
              <c:strCache>
                <c:ptCount val="1"/>
                <c:pt idx="0">
                  <c:v>Euro Area Inflation (HICP, YoY %)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Inflation!$A$2:$A$129</c:f>
              <c:numCache>
                <c:formatCode>m/d/yyyy</c:formatCode>
                <c:ptCount val="12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</c:numCache>
            </c:numRef>
          </c:cat>
          <c:val>
            <c:numRef>
              <c:f>Inflation!$C$2:$C$129</c:f>
              <c:numCache>
                <c:formatCode>0.000</c:formatCode>
                <c:ptCount val="128"/>
                <c:pt idx="0">
                  <c:v>-0.60704</c:v>
                </c:pt>
                <c:pt idx="1">
                  <c:v>-0.29252</c:v>
                </c:pt>
                <c:pt idx="2">
                  <c:v>-0.06995</c:v>
                </c:pt>
                <c:pt idx="3">
                  <c:v>0.20954</c:v>
                </c:pt>
                <c:pt idx="4">
                  <c:v>0.58929</c:v>
                </c:pt>
                <c:pt idx="5">
                  <c:v>0.48888</c:v>
                </c:pt>
                <c:pt idx="6">
                  <c:v>0.54228</c:v>
                </c:pt>
                <c:pt idx="7">
                  <c:v>0.43134</c:v>
                </c:pt>
                <c:pt idx="8">
                  <c:v>0.18975</c:v>
                </c:pt>
                <c:pt idx="9">
                  <c:v>0.38977</c:v>
                </c:pt>
                <c:pt idx="10">
                  <c:v>0.13016</c:v>
                </c:pt>
                <c:pt idx="11">
                  <c:v>0.25055</c:v>
                </c:pt>
                <c:pt idx="12">
                  <c:v>0.32573</c:v>
                </c:pt>
                <c:pt idx="13">
                  <c:v>-0.13151</c:v>
                </c:pt>
                <c:pt idx="14">
                  <c:v>-0.05</c:v>
                </c:pt>
                <c:pt idx="15">
                  <c:v>-0.25889</c:v>
                </c:pt>
                <c:pt idx="16">
                  <c:v>-0.12908</c:v>
                </c:pt>
                <c:pt idx="17">
                  <c:v>0.03971</c:v>
                </c:pt>
                <c:pt idx="18">
                  <c:v>0.15981</c:v>
                </c:pt>
                <c:pt idx="19">
                  <c:v>0.21974</c:v>
                </c:pt>
                <c:pt idx="20">
                  <c:v>0.38876</c:v>
                </c:pt>
                <c:pt idx="21">
                  <c:v>0.49776</c:v>
                </c:pt>
                <c:pt idx="22">
                  <c:v>0.57994</c:v>
                </c:pt>
                <c:pt idx="23">
                  <c:v>1.08967</c:v>
                </c:pt>
                <c:pt idx="24">
                  <c:v>1.72484</c:v>
                </c:pt>
                <c:pt idx="25">
                  <c:v>1.95502</c:v>
                </c:pt>
                <c:pt idx="26">
                  <c:v>1.53077</c:v>
                </c:pt>
                <c:pt idx="27">
                  <c:v>1.88679</c:v>
                </c:pt>
                <c:pt idx="28">
                  <c:v>1.38198</c:v>
                </c:pt>
                <c:pt idx="29">
                  <c:v>1.30012</c:v>
                </c:pt>
                <c:pt idx="30">
                  <c:v>1.33626</c:v>
                </c:pt>
                <c:pt idx="31">
                  <c:v>1.53478</c:v>
                </c:pt>
                <c:pt idx="32">
                  <c:v>1.56886</c:v>
                </c:pt>
                <c:pt idx="33">
                  <c:v>1.37692</c:v>
                </c:pt>
                <c:pt idx="34">
                  <c:v>1.53097</c:v>
                </c:pt>
                <c:pt idx="35">
                  <c:v>1.34494</c:v>
                </c:pt>
                <c:pt idx="36">
                  <c:v>1.28665</c:v>
                </c:pt>
                <c:pt idx="37">
                  <c:v>1.11277</c:v>
                </c:pt>
                <c:pt idx="38">
                  <c:v>1.39929</c:v>
                </c:pt>
                <c:pt idx="39">
                  <c:v>1.23457</c:v>
                </c:pt>
                <c:pt idx="40">
                  <c:v>1.95155</c:v>
                </c:pt>
                <c:pt idx="41">
                  <c:v>1.96924</c:v>
                </c:pt>
                <c:pt idx="42">
                  <c:v>2.19445</c:v>
                </c:pt>
                <c:pt idx="43">
                  <c:v>2.08088</c:v>
                </c:pt>
                <c:pt idx="44">
                  <c:v>2.07254</c:v>
                </c:pt>
                <c:pt idx="45">
                  <c:v>2.27672</c:v>
                </c:pt>
                <c:pt idx="46">
                  <c:v>1.91912</c:v>
                </c:pt>
                <c:pt idx="47">
                  <c:v>1.52225</c:v>
                </c:pt>
                <c:pt idx="48">
                  <c:v>1.38848</c:v>
                </c:pt>
                <c:pt idx="49">
                  <c:v>1.48374</c:v>
                </c:pt>
                <c:pt idx="50">
                  <c:v>1.39942</c:v>
                </c:pt>
                <c:pt idx="51">
                  <c:v>1.71312</c:v>
                </c:pt>
                <c:pt idx="52">
                  <c:v>1.22162</c:v>
                </c:pt>
                <c:pt idx="53">
                  <c:v>1.26826</c:v>
                </c:pt>
                <c:pt idx="54">
                  <c:v>1.0207</c:v>
                </c:pt>
                <c:pt idx="55">
                  <c:v>1.00962</c:v>
                </c:pt>
                <c:pt idx="56">
                  <c:v>0.83325</c:v>
                </c:pt>
                <c:pt idx="57">
                  <c:v>0.72609</c:v>
                </c:pt>
                <c:pt idx="58">
                  <c:v>0.96071</c:v>
                </c:pt>
                <c:pt idx="59">
                  <c:v>1.32641</c:v>
                </c:pt>
                <c:pt idx="60">
                  <c:v>1.36946</c:v>
                </c:pt>
                <c:pt idx="61">
                  <c:v>1.22967</c:v>
                </c:pt>
                <c:pt idx="62">
                  <c:v>0.74756</c:v>
                </c:pt>
                <c:pt idx="63">
                  <c:v>0.31402</c:v>
                </c:pt>
                <c:pt idx="64">
                  <c:v>0.08553</c:v>
                </c:pt>
                <c:pt idx="65">
                  <c:v>0.26565</c:v>
                </c:pt>
                <c:pt idx="66">
                  <c:v>0.38128</c:v>
                </c:pt>
                <c:pt idx="67">
                  <c:v>-0.17135</c:v>
                </c:pt>
                <c:pt idx="68">
                  <c:v>-0.31345</c:v>
                </c:pt>
                <c:pt idx="69">
                  <c:v>-0.27506</c:v>
                </c:pt>
                <c:pt idx="70">
                  <c:v>-0.28547</c:v>
                </c:pt>
                <c:pt idx="71">
                  <c:v>-0.27509</c:v>
                </c:pt>
                <c:pt idx="72">
                  <c:v>0.90064</c:v>
                </c:pt>
                <c:pt idx="73">
                  <c:v>0.93735</c:v>
                </c:pt>
                <c:pt idx="74">
                  <c:v>1.33181</c:v>
                </c:pt>
                <c:pt idx="75">
                  <c:v>1.6126</c:v>
                </c:pt>
                <c:pt idx="76">
                  <c:v>1.97493</c:v>
                </c:pt>
                <c:pt idx="77">
                  <c:v>1.90197</c:v>
                </c:pt>
                <c:pt idx="78">
                  <c:v>2.17453</c:v>
                </c:pt>
                <c:pt idx="79">
                  <c:v>2.95604</c:v>
                </c:pt>
                <c:pt idx="80">
                  <c:v>3.36351</c:v>
                </c:pt>
                <c:pt idx="81">
                  <c:v>4.05174</c:v>
                </c:pt>
                <c:pt idx="82">
                  <c:v>4.86688</c:v>
                </c:pt>
                <c:pt idx="83">
                  <c:v>4.97479</c:v>
                </c:pt>
                <c:pt idx="84">
                  <c:v>5.10873</c:v>
                </c:pt>
                <c:pt idx="85">
                  <c:v>5.87511</c:v>
                </c:pt>
                <c:pt idx="86">
                  <c:v>7.44461</c:v>
                </c:pt>
                <c:pt idx="87">
                  <c:v>7.45892</c:v>
                </c:pt>
                <c:pt idx="88">
                  <c:v>8.07263</c:v>
                </c:pt>
                <c:pt idx="89">
                  <c:v>8.66376</c:v>
                </c:pt>
                <c:pt idx="90">
                  <c:v>8.88476</c:v>
                </c:pt>
                <c:pt idx="91">
                  <c:v>9.16921</c:v>
                </c:pt>
                <c:pt idx="92">
                  <c:v>9.94653</c:v>
                </c:pt>
                <c:pt idx="93">
                  <c:v>10.63985</c:v>
                </c:pt>
                <c:pt idx="94">
                  <c:v>10.07371</c:v>
                </c:pt>
                <c:pt idx="95">
                  <c:v>9.2153</c:v>
                </c:pt>
                <c:pt idx="96">
                  <c:v>8.66384</c:v>
                </c:pt>
                <c:pt idx="97">
                  <c:v>8.52054</c:v>
                </c:pt>
                <c:pt idx="98">
                  <c:v>6.90258</c:v>
                </c:pt>
                <c:pt idx="99">
                  <c:v>6.96725</c:v>
                </c:pt>
                <c:pt idx="100">
                  <c:v>6.117</c:v>
                </c:pt>
                <c:pt idx="101">
                  <c:v>5.52042</c:v>
                </c:pt>
                <c:pt idx="102">
                  <c:v>5.30044</c:v>
                </c:pt>
                <c:pt idx="103">
                  <c:v>5.23458</c:v>
                </c:pt>
                <c:pt idx="104">
                  <c:v>4.3347</c:v>
                </c:pt>
                <c:pt idx="105">
                  <c:v>2.89987</c:v>
                </c:pt>
                <c:pt idx="106">
                  <c:v>2.39749</c:v>
                </c:pt>
                <c:pt idx="107">
                  <c:v>2.92873</c:v>
                </c:pt>
                <c:pt idx="108">
                  <c:v>2.77685</c:v>
                </c:pt>
                <c:pt idx="109">
                  <c:v>2.58144</c:v>
                </c:pt>
                <c:pt idx="110">
                  <c:v>2.42746</c:v>
                </c:pt>
                <c:pt idx="111">
                  <c:v>2.37148</c:v>
                </c:pt>
                <c:pt idx="112">
                  <c:v>2.55744</c:v>
                </c:pt>
                <c:pt idx="113">
                  <c:v>2.51863</c:v>
                </c:pt>
                <c:pt idx="114">
                  <c:v>2.58572</c:v>
                </c:pt>
                <c:pt idx="115">
                  <c:v>2.16866</c:v>
                </c:pt>
                <c:pt idx="116">
                  <c:v>1.74381</c:v>
                </c:pt>
                <c:pt idx="117">
                  <c:v>2.00723</c:v>
                </c:pt>
                <c:pt idx="118">
                  <c:v>2.2364</c:v>
                </c:pt>
                <c:pt idx="119">
                  <c:v>2.43431</c:v>
                </c:pt>
                <c:pt idx="120">
                  <c:v>2.51577</c:v>
                </c:pt>
                <c:pt idx="121">
                  <c:v>2.33156</c:v>
                </c:pt>
                <c:pt idx="122">
                  <c:v>2.17842</c:v>
                </c:pt>
                <c:pt idx="123">
                  <c:v>2.16581</c:v>
                </c:pt>
                <c:pt idx="124">
                  <c:v>1.89994</c:v>
                </c:pt>
                <c:pt idx="125">
                  <c:v>1.99068</c:v>
                </c:pt>
                <c:pt idx="126">
                  <c:v>2.03066</c:v>
                </c:pt>
                <c:pt idx="127">
                  <c:v>2.04371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C7-4DFD-A0F5-D2D5D280ED2B}"/>
            </c:ext>
          </c:extLst>
        </c:ser>
        <c:ser>
          <c:idx val="2"/>
          <c:order val="2"/>
          <c:tx>
            <c:v>2% Target</c:v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Inflation!$D$2:$D$129</c:f>
              <c:numCache>
                <c:formatCode>General</c:formatCode>
                <c:ptCount val="12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C7-4DFD-A0F5-D2D5D280E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5337951"/>
        <c:axId val="2065338911"/>
      </c:lineChart>
      <c:catAx>
        <c:axId val="2065337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338911"/>
        <c:crosses val="autoZero"/>
        <c:auto val="0"/>
        <c:lblAlgn val="ctr"/>
        <c:lblOffset val="100"/>
        <c:noMultiLvlLbl val="0"/>
      </c:catAx>
      <c:valAx>
        <c:axId val="20653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nflation, Year‑over‑Year (%)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33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1353820</xdr:colOff>
      <xdr:row>43</xdr:row>
      <xdr:rowOff>109220</xdr:rowOff>
    </xdr:from>
    <xdr:to>
      <xdr:col>13</xdr:col>
      <xdr:colOff>238760</xdr:colOff>
      <xdr:row>58</xdr:row>
      <xdr:rowOff>109220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5C90B-7D63-80D7-D195-8BC556D8C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14</xdr:col>
      <xdr:colOff>236220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230AEC-916A-4C07-B62F-4B1AC8EC9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</xdr:colOff>
      <xdr:row>47</xdr:row>
      <xdr:rowOff>17780</xdr:rowOff>
    </xdr:from>
    <xdr:to>
      <xdr:col>4</xdr:col>
      <xdr:colOff>481330</xdr:colOff>
      <xdr:row>62</xdr:row>
      <xdr:rowOff>17780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3479E-CA56-AA5C-83F6-D437ECBBF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38</xdr:row>
      <xdr:rowOff>53340</xdr:rowOff>
    </xdr:from>
    <xdr:to>
      <xdr:col>10</xdr:col>
      <xdr:colOff>541020</xdr:colOff>
      <xdr:row>53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EA6223-B389-9C05-83CB-E59E6F31D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14</xdr:col>
      <xdr:colOff>307340</xdr:colOff>
      <xdr:row>20</xdr:row>
      <xdr:rowOff>27940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AD02B9-FB2E-4D70-A959-14AC0A9C3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14</xdr:col>
      <xdr:colOff>320040</xdr:colOff>
      <xdr:row>37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EA00C6-A9BC-419F-9B78-0FADFFB29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29</xdr:row>
      <xdr:rowOff>58420</xdr:rowOff>
    </xdr:from>
    <xdr:to>
      <xdr:col>16</xdr:col>
      <xdr:colOff>327660</xdr:colOff>
      <xdr:row>44</xdr:row>
      <xdr:rowOff>58420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CC12A6-2F42-A7FA-3106-8B2C47C41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177800</xdr:rowOff>
    </xdr:from>
    <xdr:to>
      <xdr:col>3</xdr:col>
      <xdr:colOff>1506070</xdr:colOff>
      <xdr:row>68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327BA6-8F19-DBEF-7975-015597924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1732280</xdr:colOff>
      <xdr:row>59</xdr:row>
      <xdr:rowOff>101600</xdr:rowOff>
    </xdr:from>
    <xdr:ext cx="1756410" cy="23320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78BAFC-1B6F-B7BC-04B8-C36FC0D07AAE}"/>
            </a:ext>
          </a:extLst>
        </xdr:cNvPr>
        <xdr:cNvSpPr txBox="1"/>
      </xdr:nvSpPr>
      <xdr:spPr>
        <a:xfrm>
          <a:off x="3926840" y="10891520"/>
          <a:ext cx="175641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 b="1">
              <a:solidFill>
                <a:schemeClr val="accent3"/>
              </a:solidFill>
            </a:rPr>
            <a:t>Thicker Cushion/Lighter</a:t>
          </a:r>
          <a:r>
            <a:rPr lang="en-US" sz="900" b="1" baseline="0">
              <a:solidFill>
                <a:schemeClr val="accent3"/>
              </a:solidFill>
            </a:rPr>
            <a:t> Burden</a:t>
          </a:r>
          <a:endParaRPr lang="en-US" sz="900" b="1">
            <a:solidFill>
              <a:schemeClr val="accent3"/>
            </a:solidFill>
          </a:endParaRPr>
        </a:p>
      </xdr:txBody>
    </xdr:sp>
    <xdr:clientData/>
  </xdr:oneCellAnchor>
  <xdr:twoCellAnchor>
    <xdr:from>
      <xdr:col>3</xdr:col>
      <xdr:colOff>1497105</xdr:colOff>
      <xdr:row>48</xdr:row>
      <xdr:rowOff>177800</xdr:rowOff>
    </xdr:from>
    <xdr:to>
      <xdr:col>11</xdr:col>
      <xdr:colOff>161290</xdr:colOff>
      <xdr:row>68</xdr:row>
      <xdr:rowOff>21590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A57063-B20F-41E3-857E-624EFABA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0.18669</cdr:x>
      <cdr:y>0.23841</cdr:y>
    </cdr:from>
    <cdr:to>
      <cdr:x>0.36286</cdr:x>
      <cdr:y>0.29928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412012E-6467-1D09-15A4-A8BBDFACA019}"/>
            </a:ext>
          </a:extLst>
        </cdr:cNvPr>
        <cdr:cNvSpPr txBox="1"/>
      </cdr:nvSpPr>
      <cdr:spPr>
        <a:xfrm xmlns:a="http://schemas.openxmlformats.org/drawingml/2006/main">
          <a:off x="969010" y="835660"/>
          <a:ext cx="91440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0.15586</cdr:x>
      <cdr:y>0.22536</cdr:y>
    </cdr:from>
    <cdr:to>
      <cdr:x>0.44947</cdr:x>
      <cdr:y>0.29928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73FEB70-9178-8CA3-B715-F141778C6FAD}"/>
            </a:ext>
          </a:extLst>
        </cdr:cNvPr>
        <cdr:cNvSpPr txBox="1"/>
      </cdr:nvSpPr>
      <cdr:spPr>
        <a:xfrm xmlns:a="http://schemas.openxmlformats.org/drawingml/2006/main">
          <a:off x="808990" y="789940"/>
          <a:ext cx="152400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0.16614</cdr:x>
      <cdr:y>0.26232</cdr:y>
    </cdr:from>
    <cdr:to>
      <cdr:x>0.3423</cdr:x>
      <cdr:y>0.52319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F200345-EF12-774C-579C-3A5F63B5D1F6}"/>
            </a:ext>
          </a:extLst>
        </cdr:cNvPr>
        <cdr:cNvSpPr txBox="1"/>
      </cdr:nvSpPr>
      <cdr:spPr>
        <a:xfrm xmlns:a="http://schemas.openxmlformats.org/drawingml/2006/main">
          <a:off x="862330" y="91948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0.12063</cdr:x>
      <cdr:y>0.21449</cdr:y>
    </cdr:from>
    <cdr:to>
      <cdr:x>0.44213</cdr:x>
      <cdr:y>0.29928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FDBD420-9F60-4A3F-5382-996A574F79AB}"/>
            </a:ext>
          </a:extLst>
        </cdr:cNvPr>
        <cdr:cNvSpPr txBox="1"/>
      </cdr:nvSpPr>
      <cdr:spPr>
        <a:xfrm xmlns:a="http://schemas.openxmlformats.org/drawingml/2006/main">
          <a:off x="626110" y="751840"/>
          <a:ext cx="1668780" cy="297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 kern="1200">
              <a:solidFill>
                <a:srgbClr val="FF0000"/>
              </a:solidFill>
            </a:rPr>
            <a:t>Thin Cushion/Heavy Burden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B7B9-8AF4-4720-AE51-D028019214F6}">
  <dimension ref="A1:D129"/>
  <sheetViews>
    <sheetView topLeftCell="A10" workbookViewId="0">
      <selection activeCell="A13" sqref="A1:C1048576"/>
    </sheetView>
  </sheetViews>
  <sheetFormatPr defaultRowHeight="14.5" x14ac:dyDescent="0.35"/>
  <cols>
    <col min="1" max="1" width="14.81640625" style="1" bestFit="1" customWidth="1"/>
    <col min="2" max="2" width="21.6328125" style="1" bestFit="1" customWidth="1"/>
    <col min="3" max="3" width="27.36328125" style="1" bestFit="1" customWidth="1"/>
  </cols>
  <sheetData>
    <row r="1" spans="1:4" x14ac:dyDescent="0.35">
      <c r="A1" s="1" t="s">
        <v>0</v>
      </c>
      <c r="B1" s="1" t="s">
        <v>60</v>
      </c>
      <c r="C1" s="1" t="s">
        <v>61</v>
      </c>
      <c r="D1" s="1" t="s">
        <v>59</v>
      </c>
    </row>
    <row r="2" spans="1:4" x14ac:dyDescent="0.35">
      <c r="A2" s="2">
        <v>42005</v>
      </c>
      <c r="B2" s="3">
        <v>-0.22993</v>
      </c>
      <c r="C2" s="3">
        <v>-0.60704000000000002</v>
      </c>
      <c r="D2">
        <v>2</v>
      </c>
    </row>
    <row r="3" spans="1:4" x14ac:dyDescent="0.35">
      <c r="A3" s="2">
        <v>42036</v>
      </c>
      <c r="B3" s="3">
        <v>-8.7029999999999996E-2</v>
      </c>
      <c r="C3" s="3">
        <v>-0.29252</v>
      </c>
      <c r="D3">
        <v>2</v>
      </c>
    </row>
    <row r="4" spans="1:4" x14ac:dyDescent="0.35">
      <c r="A4" s="2">
        <v>42064</v>
      </c>
      <c r="B4" s="3">
        <v>-2.2030000000000001E-2</v>
      </c>
      <c r="C4" s="3">
        <v>-6.9949999999999998E-2</v>
      </c>
      <c r="D4">
        <v>2</v>
      </c>
    </row>
    <row r="5" spans="1:4" x14ac:dyDescent="0.35">
      <c r="A5" s="2">
        <v>42095</v>
      </c>
      <c r="B5" s="3">
        <v>-0.10403</v>
      </c>
      <c r="C5" s="3">
        <v>0.20954</v>
      </c>
      <c r="D5">
        <v>2</v>
      </c>
    </row>
    <row r="6" spans="1:4" x14ac:dyDescent="0.35">
      <c r="A6" s="2">
        <v>42125</v>
      </c>
      <c r="B6" s="3">
        <v>3.5029999999999999E-2</v>
      </c>
      <c r="C6" s="3">
        <v>0.58928999999999998</v>
      </c>
      <c r="D6">
        <v>2</v>
      </c>
    </row>
    <row r="7" spans="1:4" x14ac:dyDescent="0.35">
      <c r="A7" s="2">
        <v>42156</v>
      </c>
      <c r="B7" s="3">
        <v>0.17957000000000001</v>
      </c>
      <c r="C7" s="3">
        <v>0.48887999999999998</v>
      </c>
      <c r="D7">
        <v>2</v>
      </c>
    </row>
    <row r="8" spans="1:4" x14ac:dyDescent="0.35">
      <c r="A8" s="2">
        <v>42186</v>
      </c>
      <c r="B8" s="3">
        <v>0.22569</v>
      </c>
      <c r="C8" s="3">
        <v>0.54227999999999998</v>
      </c>
      <c r="D8">
        <v>2</v>
      </c>
    </row>
    <row r="9" spans="1:4" x14ac:dyDescent="0.35">
      <c r="A9" s="2">
        <v>42217</v>
      </c>
      <c r="B9" s="3">
        <v>0.24129999999999999</v>
      </c>
      <c r="C9" s="3">
        <v>0.43134</v>
      </c>
      <c r="D9">
        <v>2</v>
      </c>
    </row>
    <row r="10" spans="1:4" x14ac:dyDescent="0.35">
      <c r="A10" s="2">
        <v>42248</v>
      </c>
      <c r="B10" s="3">
        <v>8.8400000000000006E-3</v>
      </c>
      <c r="C10" s="3">
        <v>0.18975</v>
      </c>
      <c r="D10">
        <v>2</v>
      </c>
    </row>
    <row r="11" spans="1:4" x14ac:dyDescent="0.35">
      <c r="A11" s="2">
        <v>42278</v>
      </c>
      <c r="B11" s="3">
        <v>0.12762000000000001</v>
      </c>
      <c r="C11" s="3">
        <v>0.38977000000000001</v>
      </c>
      <c r="D11">
        <v>2</v>
      </c>
    </row>
    <row r="12" spans="1:4" x14ac:dyDescent="0.35">
      <c r="A12" s="2">
        <v>42309</v>
      </c>
      <c r="B12" s="3">
        <v>0.43631999999999999</v>
      </c>
      <c r="C12" s="3">
        <v>0.13016</v>
      </c>
      <c r="D12">
        <v>2</v>
      </c>
    </row>
    <row r="13" spans="1:4" x14ac:dyDescent="0.35">
      <c r="A13" s="2">
        <v>42339</v>
      </c>
      <c r="B13" s="3">
        <v>0.63871999999999995</v>
      </c>
      <c r="C13" s="3">
        <v>0.25054999999999999</v>
      </c>
      <c r="D13">
        <v>2</v>
      </c>
    </row>
    <row r="14" spans="1:4" x14ac:dyDescent="0.35">
      <c r="A14" s="2">
        <v>42370</v>
      </c>
      <c r="B14" s="3">
        <v>1.2375</v>
      </c>
      <c r="C14" s="3">
        <v>0.32573000000000002</v>
      </c>
      <c r="D14">
        <v>2</v>
      </c>
    </row>
    <row r="15" spans="1:4" x14ac:dyDescent="0.35">
      <c r="A15" s="2">
        <v>42401</v>
      </c>
      <c r="B15" s="3">
        <v>0.84728000000000003</v>
      </c>
      <c r="C15" s="3">
        <v>-0.13150999999999999</v>
      </c>
      <c r="D15">
        <v>2</v>
      </c>
    </row>
    <row r="16" spans="1:4" x14ac:dyDescent="0.35">
      <c r="A16" s="2">
        <v>42430</v>
      </c>
      <c r="B16" s="3">
        <v>0.89161999999999997</v>
      </c>
      <c r="C16" s="3">
        <v>-0.05</v>
      </c>
      <c r="D16">
        <v>2</v>
      </c>
    </row>
    <row r="17" spans="1:4" x14ac:dyDescent="0.35">
      <c r="A17" s="2">
        <v>42461</v>
      </c>
      <c r="B17" s="3">
        <v>1.1726300000000001</v>
      </c>
      <c r="C17" s="3">
        <v>-0.25889000000000001</v>
      </c>
      <c r="D17">
        <v>2</v>
      </c>
    </row>
    <row r="18" spans="1:4" x14ac:dyDescent="0.35">
      <c r="A18" s="2">
        <v>42491</v>
      </c>
      <c r="B18" s="3">
        <v>1.0784800000000001</v>
      </c>
      <c r="C18" s="3">
        <v>-0.12908</v>
      </c>
      <c r="D18">
        <v>2</v>
      </c>
    </row>
    <row r="19" spans="1:4" x14ac:dyDescent="0.35">
      <c r="A19" s="2">
        <v>42522</v>
      </c>
      <c r="B19" s="3">
        <v>1.0792900000000001</v>
      </c>
      <c r="C19" s="3">
        <v>3.9710000000000002E-2</v>
      </c>
      <c r="D19">
        <v>2</v>
      </c>
    </row>
    <row r="20" spans="1:4" x14ac:dyDescent="0.35">
      <c r="A20" s="2">
        <v>42552</v>
      </c>
      <c r="B20" s="3">
        <v>0.86836000000000002</v>
      </c>
      <c r="C20" s="3">
        <v>0.15981000000000001</v>
      </c>
      <c r="D20">
        <v>2</v>
      </c>
    </row>
    <row r="21" spans="1:4" x14ac:dyDescent="0.35">
      <c r="A21" s="2">
        <v>42583</v>
      </c>
      <c r="B21" s="3">
        <v>1.05532</v>
      </c>
      <c r="C21" s="3">
        <v>0.21973999999999999</v>
      </c>
      <c r="D21">
        <v>2</v>
      </c>
    </row>
    <row r="22" spans="1:4" x14ac:dyDescent="0.35">
      <c r="A22" s="2">
        <v>42614</v>
      </c>
      <c r="B22" s="3">
        <v>1.54864</v>
      </c>
      <c r="C22" s="3">
        <v>0.38875999999999999</v>
      </c>
      <c r="D22">
        <v>2</v>
      </c>
    </row>
    <row r="23" spans="1:4" x14ac:dyDescent="0.35">
      <c r="A23" s="2">
        <v>42644</v>
      </c>
      <c r="B23" s="3">
        <v>1.6859200000000001</v>
      </c>
      <c r="C23" s="3">
        <v>0.49775999999999998</v>
      </c>
      <c r="D23">
        <v>2</v>
      </c>
    </row>
    <row r="24" spans="1:4" x14ac:dyDescent="0.35">
      <c r="A24" s="2">
        <v>42675</v>
      </c>
      <c r="B24" s="3">
        <v>1.6843300000000001</v>
      </c>
      <c r="C24" s="3">
        <v>0.57994000000000001</v>
      </c>
      <c r="D24">
        <v>2</v>
      </c>
    </row>
    <row r="25" spans="1:4" x14ac:dyDescent="0.35">
      <c r="A25" s="2">
        <v>42705</v>
      </c>
      <c r="B25" s="3">
        <v>2.0508000000000002</v>
      </c>
      <c r="C25" s="3">
        <v>1.0896699999999999</v>
      </c>
      <c r="D25">
        <v>2</v>
      </c>
    </row>
    <row r="26" spans="1:4" x14ac:dyDescent="0.35">
      <c r="A26" s="2">
        <v>42736</v>
      </c>
      <c r="B26" s="3">
        <v>2.5103900000000001</v>
      </c>
      <c r="C26" s="3">
        <v>1.7248399999999999</v>
      </c>
      <c r="D26">
        <v>2</v>
      </c>
    </row>
    <row r="27" spans="1:4" x14ac:dyDescent="0.35">
      <c r="A27" s="2">
        <v>42767</v>
      </c>
      <c r="B27" s="3">
        <v>2.8103600000000002</v>
      </c>
      <c r="C27" s="3">
        <v>1.95502</v>
      </c>
      <c r="D27">
        <v>2</v>
      </c>
    </row>
    <row r="28" spans="1:4" x14ac:dyDescent="0.35">
      <c r="A28" s="2">
        <v>42795</v>
      </c>
      <c r="B28" s="3">
        <v>2.4411999999999998</v>
      </c>
      <c r="C28" s="3">
        <v>1.53077</v>
      </c>
      <c r="D28">
        <v>2</v>
      </c>
    </row>
    <row r="29" spans="1:4" x14ac:dyDescent="0.35">
      <c r="A29" s="2">
        <v>42826</v>
      </c>
      <c r="B29" s="3">
        <v>2.1762199999999998</v>
      </c>
      <c r="C29" s="3">
        <v>1.88679</v>
      </c>
      <c r="D29">
        <v>2</v>
      </c>
    </row>
    <row r="30" spans="1:4" x14ac:dyDescent="0.35">
      <c r="A30" s="2">
        <v>42856</v>
      </c>
      <c r="B30" s="3">
        <v>1.8563400000000001</v>
      </c>
      <c r="C30" s="3">
        <v>1.38198</v>
      </c>
      <c r="D30">
        <v>2</v>
      </c>
    </row>
    <row r="31" spans="1:4" x14ac:dyDescent="0.35">
      <c r="A31" s="2">
        <v>42887</v>
      </c>
      <c r="B31" s="3">
        <v>1.6405700000000001</v>
      </c>
      <c r="C31" s="3">
        <v>1.3001199999999999</v>
      </c>
      <c r="D31">
        <v>2</v>
      </c>
    </row>
    <row r="32" spans="1:4" x14ac:dyDescent="0.35">
      <c r="A32" s="2">
        <v>42917</v>
      </c>
      <c r="B32" s="3">
        <v>1.7251099999999999</v>
      </c>
      <c r="C32" s="3">
        <v>1.33626</v>
      </c>
      <c r="D32">
        <v>2</v>
      </c>
    </row>
    <row r="33" spans="1:4" x14ac:dyDescent="0.35">
      <c r="A33" s="2">
        <v>42948</v>
      </c>
      <c r="B33" s="3">
        <v>1.9281200000000001</v>
      </c>
      <c r="C33" s="3">
        <v>1.53478</v>
      </c>
      <c r="D33">
        <v>2</v>
      </c>
    </row>
    <row r="34" spans="1:4" x14ac:dyDescent="0.35">
      <c r="A34" s="2">
        <v>42979</v>
      </c>
      <c r="B34" s="3">
        <v>2.1805699999999999</v>
      </c>
      <c r="C34" s="3">
        <v>1.5688599999999999</v>
      </c>
      <c r="D34">
        <v>2</v>
      </c>
    </row>
    <row r="35" spans="1:4" x14ac:dyDescent="0.35">
      <c r="A35" s="2">
        <v>43009</v>
      </c>
      <c r="B35" s="3">
        <v>2.0207600000000001</v>
      </c>
      <c r="C35" s="3">
        <v>1.3769199999999999</v>
      </c>
      <c r="D35">
        <v>2</v>
      </c>
    </row>
    <row r="36" spans="1:4" x14ac:dyDescent="0.35">
      <c r="A36" s="2">
        <v>43040</v>
      </c>
      <c r="B36" s="3">
        <v>2.1724899999999998</v>
      </c>
      <c r="C36" s="3">
        <v>1.5309699999999999</v>
      </c>
      <c r="D36">
        <v>2</v>
      </c>
    </row>
    <row r="37" spans="1:4" x14ac:dyDescent="0.35">
      <c r="A37" s="2">
        <v>43070</v>
      </c>
      <c r="B37" s="3">
        <v>2.1299299999999999</v>
      </c>
      <c r="C37" s="3">
        <v>1.34494</v>
      </c>
      <c r="D37">
        <v>2</v>
      </c>
    </row>
    <row r="38" spans="1:4" x14ac:dyDescent="0.35">
      <c r="A38" s="2">
        <v>43101</v>
      </c>
      <c r="B38" s="3">
        <v>2.1513200000000001</v>
      </c>
      <c r="C38" s="3">
        <v>1.2866500000000001</v>
      </c>
      <c r="D38">
        <v>2</v>
      </c>
    </row>
    <row r="39" spans="1:4" x14ac:dyDescent="0.35">
      <c r="A39" s="2">
        <v>43132</v>
      </c>
      <c r="B39" s="3">
        <v>2.2634699999999999</v>
      </c>
      <c r="C39" s="3">
        <v>1.11277</v>
      </c>
      <c r="D39">
        <v>2</v>
      </c>
    </row>
    <row r="40" spans="1:4" x14ac:dyDescent="0.35">
      <c r="A40" s="2">
        <v>43160</v>
      </c>
      <c r="B40" s="3">
        <v>2.3309500000000001</v>
      </c>
      <c r="C40" s="3">
        <v>1.3992899999999999</v>
      </c>
      <c r="D40">
        <v>2</v>
      </c>
    </row>
    <row r="41" spans="1:4" x14ac:dyDescent="0.35">
      <c r="A41" s="2">
        <v>43191</v>
      </c>
      <c r="B41" s="3">
        <v>2.4710000000000001</v>
      </c>
      <c r="C41" s="3">
        <v>1.2345699999999999</v>
      </c>
      <c r="D41">
        <v>2</v>
      </c>
    </row>
    <row r="42" spans="1:4" x14ac:dyDescent="0.35">
      <c r="A42" s="2">
        <v>43221</v>
      </c>
      <c r="B42" s="3">
        <v>2.7819199999999999</v>
      </c>
      <c r="C42" s="3">
        <v>1.9515499999999999</v>
      </c>
      <c r="D42">
        <v>2</v>
      </c>
    </row>
    <row r="43" spans="1:4" x14ac:dyDescent="0.35">
      <c r="A43" s="2">
        <v>43252</v>
      </c>
      <c r="B43" s="3">
        <v>2.80755</v>
      </c>
      <c r="C43" s="3">
        <v>1.9692400000000001</v>
      </c>
      <c r="D43">
        <v>2</v>
      </c>
    </row>
    <row r="44" spans="1:4" x14ac:dyDescent="0.35">
      <c r="A44" s="2">
        <v>43282</v>
      </c>
      <c r="B44" s="3">
        <v>2.85412</v>
      </c>
      <c r="C44" s="3">
        <v>2.1944499999999998</v>
      </c>
      <c r="D44">
        <v>2</v>
      </c>
    </row>
    <row r="45" spans="1:4" x14ac:dyDescent="0.35">
      <c r="A45" s="2">
        <v>43313</v>
      </c>
      <c r="B45" s="3">
        <v>2.6429200000000002</v>
      </c>
      <c r="C45" s="3">
        <v>2.0808800000000001</v>
      </c>
      <c r="D45">
        <v>2</v>
      </c>
    </row>
    <row r="46" spans="1:4" x14ac:dyDescent="0.35">
      <c r="A46" s="2">
        <v>43344</v>
      </c>
      <c r="B46" s="3">
        <v>2.3320599999999998</v>
      </c>
      <c r="C46" s="3">
        <v>2.07254</v>
      </c>
      <c r="D46">
        <v>2</v>
      </c>
    </row>
    <row r="47" spans="1:4" x14ac:dyDescent="0.35">
      <c r="A47" s="2">
        <v>43374</v>
      </c>
      <c r="B47" s="3">
        <v>2.4920300000000002</v>
      </c>
      <c r="C47" s="3">
        <v>2.2767200000000001</v>
      </c>
      <c r="D47">
        <v>2</v>
      </c>
    </row>
    <row r="48" spans="1:4" x14ac:dyDescent="0.35">
      <c r="A48" s="2">
        <v>43405</v>
      </c>
      <c r="B48" s="3">
        <v>2.1473300000000002</v>
      </c>
      <c r="C48" s="3">
        <v>1.9191199999999999</v>
      </c>
      <c r="D48">
        <v>2</v>
      </c>
    </row>
    <row r="49" spans="1:4" x14ac:dyDescent="0.35">
      <c r="A49" s="2">
        <v>43435</v>
      </c>
      <c r="B49" s="3">
        <v>2.00238</v>
      </c>
      <c r="C49" s="3">
        <v>1.5222500000000001</v>
      </c>
      <c r="D49">
        <v>2</v>
      </c>
    </row>
    <row r="50" spans="1:4" x14ac:dyDescent="0.35">
      <c r="A50" s="2">
        <v>43466</v>
      </c>
      <c r="B50" s="3">
        <v>1.48759</v>
      </c>
      <c r="C50" s="3">
        <v>1.3884799999999999</v>
      </c>
      <c r="D50">
        <v>2</v>
      </c>
    </row>
    <row r="51" spans="1:4" x14ac:dyDescent="0.35">
      <c r="A51" s="2">
        <v>43497</v>
      </c>
      <c r="B51" s="3">
        <v>1.5188600000000001</v>
      </c>
      <c r="C51" s="3">
        <v>1.4837400000000001</v>
      </c>
      <c r="D51">
        <v>2</v>
      </c>
    </row>
    <row r="52" spans="1:4" x14ac:dyDescent="0.35">
      <c r="A52" s="2">
        <v>43525</v>
      </c>
      <c r="B52" s="3">
        <v>1.8831899999999999</v>
      </c>
      <c r="C52" s="3">
        <v>1.3994200000000001</v>
      </c>
      <c r="D52">
        <v>2</v>
      </c>
    </row>
    <row r="53" spans="1:4" x14ac:dyDescent="0.35">
      <c r="A53" s="2">
        <v>43556</v>
      </c>
      <c r="B53" s="3">
        <v>2.0005799999999998</v>
      </c>
      <c r="C53" s="3">
        <v>1.71312</v>
      </c>
      <c r="D53">
        <v>2</v>
      </c>
    </row>
    <row r="54" spans="1:4" x14ac:dyDescent="0.35">
      <c r="A54" s="2">
        <v>43586</v>
      </c>
      <c r="B54" s="3">
        <v>1.7959099999999999</v>
      </c>
      <c r="C54" s="3">
        <v>1.2216199999999999</v>
      </c>
      <c r="D54">
        <v>2</v>
      </c>
    </row>
    <row r="55" spans="1:4" x14ac:dyDescent="0.35">
      <c r="A55" s="2">
        <v>43617</v>
      </c>
      <c r="B55" s="3">
        <v>1.67119</v>
      </c>
      <c r="C55" s="3">
        <v>1.2682599999999999</v>
      </c>
      <c r="D55">
        <v>2</v>
      </c>
    </row>
    <row r="56" spans="1:4" x14ac:dyDescent="0.35">
      <c r="A56" s="2">
        <v>43647</v>
      </c>
      <c r="B56" s="3">
        <v>1.82633</v>
      </c>
      <c r="C56" s="3">
        <v>1.0206999999999999</v>
      </c>
      <c r="D56">
        <v>2</v>
      </c>
    </row>
    <row r="57" spans="1:4" x14ac:dyDescent="0.35">
      <c r="A57" s="2">
        <v>43678</v>
      </c>
      <c r="B57" s="3">
        <v>1.7376400000000001</v>
      </c>
      <c r="C57" s="3">
        <v>1.00962</v>
      </c>
      <c r="D57">
        <v>2</v>
      </c>
    </row>
    <row r="58" spans="1:4" x14ac:dyDescent="0.35">
      <c r="A58" s="2">
        <v>43709</v>
      </c>
      <c r="B58" s="3">
        <v>1.6845000000000001</v>
      </c>
      <c r="C58" s="3">
        <v>0.83325000000000005</v>
      </c>
      <c r="D58">
        <v>2</v>
      </c>
    </row>
    <row r="59" spans="1:4" x14ac:dyDescent="0.35">
      <c r="A59" s="2">
        <v>43739</v>
      </c>
      <c r="B59" s="3">
        <v>1.73397</v>
      </c>
      <c r="C59" s="3">
        <v>0.72609000000000001</v>
      </c>
      <c r="D59">
        <v>2</v>
      </c>
    </row>
    <row r="60" spans="1:4" x14ac:dyDescent="0.35">
      <c r="A60" s="2">
        <v>43770</v>
      </c>
      <c r="B60" s="3">
        <v>2.0922900000000002</v>
      </c>
      <c r="C60" s="3">
        <v>0.96070999999999995</v>
      </c>
      <c r="D60">
        <v>2</v>
      </c>
    </row>
    <row r="61" spans="1:4" x14ac:dyDescent="0.35">
      <c r="A61" s="2">
        <v>43800</v>
      </c>
      <c r="B61" s="3">
        <v>2.3195299999999999</v>
      </c>
      <c r="C61" s="3">
        <v>1.3264100000000001</v>
      </c>
      <c r="D61">
        <v>2</v>
      </c>
    </row>
    <row r="62" spans="1:4" x14ac:dyDescent="0.35">
      <c r="A62" s="2">
        <v>43831</v>
      </c>
      <c r="B62" s="3">
        <v>2.5997699999999999</v>
      </c>
      <c r="C62" s="3">
        <v>1.3694599999999999</v>
      </c>
      <c r="D62">
        <v>2</v>
      </c>
    </row>
    <row r="63" spans="1:4" x14ac:dyDescent="0.35">
      <c r="A63" s="2">
        <v>43862</v>
      </c>
      <c r="B63" s="3">
        <v>2.3413200000000001</v>
      </c>
      <c r="C63" s="3">
        <v>1.22967</v>
      </c>
      <c r="D63">
        <v>2</v>
      </c>
    </row>
    <row r="64" spans="1:4" x14ac:dyDescent="0.35">
      <c r="A64" s="2">
        <v>43891</v>
      </c>
      <c r="B64" s="3">
        <v>1.49404</v>
      </c>
      <c r="C64" s="3">
        <v>0.74756</v>
      </c>
      <c r="D64">
        <v>2</v>
      </c>
    </row>
    <row r="65" spans="1:4" x14ac:dyDescent="0.35">
      <c r="A65" s="2">
        <v>43922</v>
      </c>
      <c r="B65" s="3">
        <v>0.31304999999999999</v>
      </c>
      <c r="C65" s="3">
        <v>0.31402000000000002</v>
      </c>
      <c r="D65">
        <v>2</v>
      </c>
    </row>
    <row r="66" spans="1:4" x14ac:dyDescent="0.35">
      <c r="A66" s="2">
        <v>43952</v>
      </c>
      <c r="B66" s="3">
        <v>0.19819999999999999</v>
      </c>
      <c r="C66" s="3">
        <v>8.5529999999999995E-2</v>
      </c>
      <c r="D66">
        <v>2</v>
      </c>
    </row>
    <row r="67" spans="1:4" x14ac:dyDescent="0.35">
      <c r="A67" s="2">
        <v>43983</v>
      </c>
      <c r="B67" s="3">
        <v>0.71665999999999996</v>
      </c>
      <c r="C67" s="3">
        <v>0.26565</v>
      </c>
      <c r="D67">
        <v>2</v>
      </c>
    </row>
    <row r="68" spans="1:4" x14ac:dyDescent="0.35">
      <c r="A68" s="2">
        <v>44013</v>
      </c>
      <c r="B68" s="3">
        <v>0.99685999999999997</v>
      </c>
      <c r="C68" s="3">
        <v>0.38128000000000001</v>
      </c>
      <c r="D68">
        <v>2</v>
      </c>
    </row>
    <row r="69" spans="1:4" x14ac:dyDescent="0.35">
      <c r="A69" s="2">
        <v>44044</v>
      </c>
      <c r="B69" s="3">
        <v>1.2810699999999999</v>
      </c>
      <c r="C69" s="3">
        <v>-0.17135</v>
      </c>
      <c r="D69">
        <v>2</v>
      </c>
    </row>
    <row r="70" spans="1:4" x14ac:dyDescent="0.35">
      <c r="A70" s="2">
        <v>44075</v>
      </c>
      <c r="B70" s="3">
        <v>1.3910199999999999</v>
      </c>
      <c r="C70" s="3">
        <v>-0.31345000000000001</v>
      </c>
      <c r="D70">
        <v>2</v>
      </c>
    </row>
    <row r="71" spans="1:4" x14ac:dyDescent="0.35">
      <c r="A71" s="2">
        <v>44105</v>
      </c>
      <c r="B71" s="3">
        <v>1.2303900000000001</v>
      </c>
      <c r="C71" s="3">
        <v>-0.27506000000000003</v>
      </c>
      <c r="D71">
        <v>2</v>
      </c>
    </row>
    <row r="72" spans="1:4" x14ac:dyDescent="0.35">
      <c r="A72" s="2">
        <v>44136</v>
      </c>
      <c r="B72" s="3">
        <v>1.1757500000000001</v>
      </c>
      <c r="C72" s="3">
        <v>-0.28547</v>
      </c>
      <c r="D72">
        <v>2</v>
      </c>
    </row>
    <row r="73" spans="1:4" x14ac:dyDescent="0.35">
      <c r="A73" s="2">
        <v>44166</v>
      </c>
      <c r="B73" s="3">
        <v>1.3204199999999999</v>
      </c>
      <c r="C73" s="3">
        <v>-0.27509</v>
      </c>
      <c r="D73">
        <v>2</v>
      </c>
    </row>
    <row r="74" spans="1:4" x14ac:dyDescent="0.35">
      <c r="A74" s="2">
        <v>44197</v>
      </c>
      <c r="B74" s="3">
        <v>1.3553200000000001</v>
      </c>
      <c r="C74" s="3">
        <v>0.90064</v>
      </c>
      <c r="D74">
        <v>2</v>
      </c>
    </row>
    <row r="75" spans="1:4" x14ac:dyDescent="0.35">
      <c r="A75" s="2">
        <v>44228</v>
      </c>
      <c r="B75" s="3">
        <v>1.6675</v>
      </c>
      <c r="C75" s="3">
        <v>0.93735000000000002</v>
      </c>
      <c r="D75">
        <v>2</v>
      </c>
    </row>
    <row r="76" spans="1:4" x14ac:dyDescent="0.35">
      <c r="A76" s="2">
        <v>44256</v>
      </c>
      <c r="B76" s="3">
        <v>2.62365</v>
      </c>
      <c r="C76" s="3">
        <v>1.3318099999999999</v>
      </c>
      <c r="D76">
        <v>2</v>
      </c>
    </row>
    <row r="77" spans="1:4" x14ac:dyDescent="0.35">
      <c r="A77" s="2">
        <v>44287</v>
      </c>
      <c r="B77" s="3">
        <v>4.1373699999999998</v>
      </c>
      <c r="C77" s="3">
        <v>1.6126</v>
      </c>
      <c r="D77">
        <v>2</v>
      </c>
    </row>
    <row r="78" spans="1:4" x14ac:dyDescent="0.35">
      <c r="A78" s="2">
        <v>44317</v>
      </c>
      <c r="B78" s="3">
        <v>4.9264700000000001</v>
      </c>
      <c r="C78" s="3">
        <v>1.9749300000000001</v>
      </c>
      <c r="D78">
        <v>2</v>
      </c>
    </row>
    <row r="79" spans="1:4" x14ac:dyDescent="0.35">
      <c r="A79" s="2">
        <v>44348</v>
      </c>
      <c r="B79" s="3">
        <v>5.3174200000000003</v>
      </c>
      <c r="C79" s="3">
        <v>1.9019699999999999</v>
      </c>
      <c r="D79">
        <v>2</v>
      </c>
    </row>
    <row r="80" spans="1:4" x14ac:dyDescent="0.35">
      <c r="A80" s="2">
        <v>44378</v>
      </c>
      <c r="B80" s="3">
        <v>5.2691699999999999</v>
      </c>
      <c r="C80" s="3">
        <v>2.1745299999999999</v>
      </c>
      <c r="D80">
        <v>2</v>
      </c>
    </row>
    <row r="81" spans="1:4" x14ac:dyDescent="0.35">
      <c r="A81" s="2">
        <v>44409</v>
      </c>
      <c r="B81" s="3">
        <v>5.1813200000000004</v>
      </c>
      <c r="C81" s="3">
        <v>2.9560399999999998</v>
      </c>
      <c r="D81">
        <v>2</v>
      </c>
    </row>
    <row r="82" spans="1:4" x14ac:dyDescent="0.35">
      <c r="A82" s="2">
        <v>44440</v>
      </c>
      <c r="B82" s="3">
        <v>5.3635200000000003</v>
      </c>
      <c r="C82" s="3">
        <v>3.3635100000000002</v>
      </c>
      <c r="D82">
        <v>2</v>
      </c>
    </row>
    <row r="83" spans="1:4" x14ac:dyDescent="0.35">
      <c r="A83" s="2">
        <v>44470</v>
      </c>
      <c r="B83" s="3">
        <v>6.2265899999999998</v>
      </c>
      <c r="C83" s="3">
        <v>4.0517399999999997</v>
      </c>
      <c r="D83">
        <v>2</v>
      </c>
    </row>
    <row r="84" spans="1:4" x14ac:dyDescent="0.35">
      <c r="A84" s="2">
        <v>44501</v>
      </c>
      <c r="B84" s="3">
        <v>6.8655600000000003</v>
      </c>
      <c r="C84" s="3">
        <v>4.8668800000000001</v>
      </c>
      <c r="D84">
        <v>2</v>
      </c>
    </row>
    <row r="85" spans="1:4" x14ac:dyDescent="0.35">
      <c r="A85" s="2">
        <v>44531</v>
      </c>
      <c r="B85" s="3">
        <v>7.1594600000000002</v>
      </c>
      <c r="C85" s="3">
        <v>4.9747899999999996</v>
      </c>
      <c r="D85">
        <v>2</v>
      </c>
    </row>
    <row r="86" spans="1:4" x14ac:dyDescent="0.35">
      <c r="A86" s="2">
        <v>44562</v>
      </c>
      <c r="B86" s="3">
        <v>7.5780799999999999</v>
      </c>
      <c r="C86" s="3">
        <v>5.1087300000000004</v>
      </c>
      <c r="D86">
        <v>2</v>
      </c>
    </row>
    <row r="87" spans="1:4" x14ac:dyDescent="0.35">
      <c r="A87" s="2">
        <v>44593</v>
      </c>
      <c r="B87" s="3">
        <v>7.9492200000000004</v>
      </c>
      <c r="C87" s="3">
        <v>5.8751100000000003</v>
      </c>
      <c r="D87">
        <v>2</v>
      </c>
    </row>
    <row r="88" spans="1:4" x14ac:dyDescent="0.35">
      <c r="A88" s="2">
        <v>44621</v>
      </c>
      <c r="B88" s="3">
        <v>8.5407799999999998</v>
      </c>
      <c r="C88" s="3">
        <v>7.4446099999999999</v>
      </c>
      <c r="D88">
        <v>2</v>
      </c>
    </row>
    <row r="89" spans="1:4" x14ac:dyDescent="0.35">
      <c r="A89" s="2">
        <v>44652</v>
      </c>
      <c r="B89" s="3">
        <v>8.2351600000000005</v>
      </c>
      <c r="C89" s="3">
        <v>7.45892</v>
      </c>
      <c r="D89">
        <v>2</v>
      </c>
    </row>
    <row r="90" spans="1:4" x14ac:dyDescent="0.35">
      <c r="A90" s="2">
        <v>44682</v>
      </c>
      <c r="B90" s="3">
        <v>8.5300499999999992</v>
      </c>
      <c r="C90" s="3">
        <v>8.0726300000000002</v>
      </c>
      <c r="D90">
        <v>2</v>
      </c>
    </row>
    <row r="91" spans="1:4" x14ac:dyDescent="0.35">
      <c r="A91" s="2">
        <v>44713</v>
      </c>
      <c r="B91" s="3">
        <v>8.9992999999999999</v>
      </c>
      <c r="C91" s="3">
        <v>8.6637599999999999</v>
      </c>
      <c r="D91">
        <v>2</v>
      </c>
    </row>
    <row r="92" spans="1:4" x14ac:dyDescent="0.35">
      <c r="A92" s="2">
        <v>44743</v>
      </c>
      <c r="B92" s="3">
        <v>8.4477799999999998</v>
      </c>
      <c r="C92" s="3">
        <v>8.88476</v>
      </c>
      <c r="D92">
        <v>2</v>
      </c>
    </row>
    <row r="93" spans="1:4" x14ac:dyDescent="0.35">
      <c r="A93" s="2">
        <v>44774</v>
      </c>
      <c r="B93" s="3">
        <v>8.2162600000000001</v>
      </c>
      <c r="C93" s="3">
        <v>9.1692099999999996</v>
      </c>
      <c r="D93">
        <v>2</v>
      </c>
    </row>
    <row r="94" spans="1:4" x14ac:dyDescent="0.35">
      <c r="A94" s="2">
        <v>44805</v>
      </c>
      <c r="B94" s="3">
        <v>8.2057500000000001</v>
      </c>
      <c r="C94" s="3">
        <v>9.9465299999999992</v>
      </c>
      <c r="D94">
        <v>2</v>
      </c>
    </row>
    <row r="95" spans="1:4" x14ac:dyDescent="0.35">
      <c r="A95" s="2">
        <v>44835</v>
      </c>
      <c r="B95" s="3">
        <v>7.7572599999999996</v>
      </c>
      <c r="C95" s="3">
        <v>10.639849999999999</v>
      </c>
      <c r="D95">
        <v>2</v>
      </c>
    </row>
    <row r="96" spans="1:4" x14ac:dyDescent="0.35">
      <c r="A96" s="2">
        <v>44866</v>
      </c>
      <c r="B96" s="3">
        <v>7.1313800000000001</v>
      </c>
      <c r="C96" s="3">
        <v>10.07371</v>
      </c>
      <c r="D96">
        <v>2</v>
      </c>
    </row>
    <row r="97" spans="1:4" x14ac:dyDescent="0.35">
      <c r="A97" s="2">
        <v>44896</v>
      </c>
      <c r="B97" s="3">
        <v>6.4108299999999998</v>
      </c>
      <c r="C97" s="3">
        <v>9.2152999999999992</v>
      </c>
      <c r="D97">
        <v>2</v>
      </c>
    </row>
    <row r="98" spans="1:4" x14ac:dyDescent="0.35">
      <c r="A98" s="2">
        <v>44927</v>
      </c>
      <c r="B98" s="3">
        <v>6.3403</v>
      </c>
      <c r="C98" s="3">
        <v>8.6638400000000004</v>
      </c>
      <c r="D98">
        <v>2</v>
      </c>
    </row>
    <row r="99" spans="1:4" x14ac:dyDescent="0.35">
      <c r="A99" s="2">
        <v>44958</v>
      </c>
      <c r="B99" s="3">
        <v>5.9576500000000001</v>
      </c>
      <c r="C99" s="3">
        <v>8.5205400000000004</v>
      </c>
      <c r="D99">
        <v>2</v>
      </c>
    </row>
    <row r="100" spans="1:4" x14ac:dyDescent="0.35">
      <c r="A100" s="2">
        <v>44986</v>
      </c>
      <c r="B100" s="3">
        <v>4.9313500000000001</v>
      </c>
      <c r="C100" s="3">
        <v>6.9025800000000004</v>
      </c>
      <c r="D100">
        <v>2</v>
      </c>
    </row>
    <row r="101" spans="1:4" x14ac:dyDescent="0.35">
      <c r="A101" s="2">
        <v>45017</v>
      </c>
      <c r="B101" s="3">
        <v>4.9469500000000002</v>
      </c>
      <c r="C101" s="3">
        <v>6.9672499999999999</v>
      </c>
      <c r="D101">
        <v>2</v>
      </c>
    </row>
    <row r="102" spans="1:4" x14ac:dyDescent="0.35">
      <c r="A102" s="2">
        <v>45047</v>
      </c>
      <c r="B102" s="3">
        <v>4.1253099999999998</v>
      </c>
      <c r="C102" s="3">
        <v>6.117</v>
      </c>
      <c r="D102">
        <v>2</v>
      </c>
    </row>
    <row r="103" spans="1:4" x14ac:dyDescent="0.35">
      <c r="A103" s="2">
        <v>45078</v>
      </c>
      <c r="B103" s="3">
        <v>3.05925</v>
      </c>
      <c r="C103" s="3">
        <v>5.5204199999999997</v>
      </c>
      <c r="D103">
        <v>2</v>
      </c>
    </row>
    <row r="104" spans="1:4" x14ac:dyDescent="0.35">
      <c r="A104" s="2">
        <v>45108</v>
      </c>
      <c r="B104" s="3">
        <v>3.2803300000000002</v>
      </c>
      <c r="C104" s="3">
        <v>5.30044</v>
      </c>
      <c r="D104">
        <v>2</v>
      </c>
    </row>
    <row r="105" spans="1:4" x14ac:dyDescent="0.35">
      <c r="A105" s="2">
        <v>45139</v>
      </c>
      <c r="B105" s="3">
        <v>3.7186400000000002</v>
      </c>
      <c r="C105" s="3">
        <v>5.2345800000000002</v>
      </c>
      <c r="D105">
        <v>2</v>
      </c>
    </row>
    <row r="106" spans="1:4" x14ac:dyDescent="0.35">
      <c r="A106" s="2">
        <v>45170</v>
      </c>
      <c r="B106" s="3">
        <v>3.6950799999999999</v>
      </c>
      <c r="C106" s="3">
        <v>4.3346999999999998</v>
      </c>
      <c r="D106">
        <v>2</v>
      </c>
    </row>
    <row r="107" spans="1:4" x14ac:dyDescent="0.35">
      <c r="A107" s="2">
        <v>45200</v>
      </c>
      <c r="B107" s="3">
        <v>3.24654</v>
      </c>
      <c r="C107" s="3">
        <v>2.8998699999999999</v>
      </c>
      <c r="D107">
        <v>2</v>
      </c>
    </row>
    <row r="108" spans="1:4" x14ac:dyDescent="0.35">
      <c r="A108" s="2">
        <v>45231</v>
      </c>
      <c r="B108" s="3">
        <v>3.1398600000000001</v>
      </c>
      <c r="C108" s="3">
        <v>2.3974899999999999</v>
      </c>
      <c r="D108">
        <v>2</v>
      </c>
    </row>
    <row r="109" spans="1:4" x14ac:dyDescent="0.35">
      <c r="A109" s="2">
        <v>45261</v>
      </c>
      <c r="B109" s="3">
        <v>3.3222</v>
      </c>
      <c r="C109" s="3">
        <v>2.9287299999999998</v>
      </c>
      <c r="D109">
        <v>2</v>
      </c>
    </row>
    <row r="110" spans="1:4" x14ac:dyDescent="0.35">
      <c r="A110" s="2">
        <v>45292</v>
      </c>
      <c r="B110" s="3">
        <v>3.1079400000000001</v>
      </c>
      <c r="C110" s="3">
        <v>2.77685</v>
      </c>
      <c r="D110">
        <v>2</v>
      </c>
    </row>
    <row r="111" spans="1:4" x14ac:dyDescent="0.35">
      <c r="A111" s="2">
        <v>45323</v>
      </c>
      <c r="B111" s="3">
        <v>3.16642</v>
      </c>
      <c r="C111" s="3">
        <v>2.5814400000000002</v>
      </c>
      <c r="D111">
        <v>2</v>
      </c>
    </row>
    <row r="112" spans="1:4" x14ac:dyDescent="0.35">
      <c r="A112" s="2">
        <v>45352</v>
      </c>
      <c r="B112" s="3">
        <v>3.4689999999999999</v>
      </c>
      <c r="C112" s="3">
        <v>2.42746</v>
      </c>
      <c r="D112">
        <v>2</v>
      </c>
    </row>
    <row r="113" spans="1:4" x14ac:dyDescent="0.35">
      <c r="A113" s="2">
        <v>45383</v>
      </c>
      <c r="B113" s="3">
        <v>3.35405</v>
      </c>
      <c r="C113" s="3">
        <v>2.37148</v>
      </c>
      <c r="D113">
        <v>2</v>
      </c>
    </row>
    <row r="114" spans="1:4" x14ac:dyDescent="0.35">
      <c r="A114" s="2">
        <v>45413</v>
      </c>
      <c r="B114" s="3">
        <v>3.2388699999999999</v>
      </c>
      <c r="C114" s="3">
        <v>2.5574400000000002</v>
      </c>
      <c r="D114">
        <v>2</v>
      </c>
    </row>
    <row r="115" spans="1:4" x14ac:dyDescent="0.35">
      <c r="A115" s="2">
        <v>45444</v>
      </c>
      <c r="B115" s="3">
        <v>2.9700899999999999</v>
      </c>
      <c r="C115" s="3">
        <v>2.5186299999999999</v>
      </c>
      <c r="D115">
        <v>2</v>
      </c>
    </row>
    <row r="116" spans="1:4" x14ac:dyDescent="0.35">
      <c r="A116" s="2">
        <v>45474</v>
      </c>
      <c r="B116" s="3">
        <v>2.9384600000000001</v>
      </c>
      <c r="C116" s="3">
        <v>2.5857199999999998</v>
      </c>
      <c r="D116">
        <v>2</v>
      </c>
    </row>
    <row r="117" spans="1:4" x14ac:dyDescent="0.35">
      <c r="A117" s="2">
        <v>45505</v>
      </c>
      <c r="B117" s="3">
        <v>2.6109100000000001</v>
      </c>
      <c r="C117" s="3">
        <v>2.16866</v>
      </c>
      <c r="D117">
        <v>2</v>
      </c>
    </row>
    <row r="118" spans="1:4" x14ac:dyDescent="0.35">
      <c r="A118" s="2">
        <v>45536</v>
      </c>
      <c r="B118" s="3">
        <v>2.4325399999999999</v>
      </c>
      <c r="C118" s="3">
        <v>1.7438100000000001</v>
      </c>
      <c r="D118">
        <v>2</v>
      </c>
    </row>
    <row r="119" spans="1:4" x14ac:dyDescent="0.35">
      <c r="A119" s="2">
        <v>45566</v>
      </c>
      <c r="B119" s="3">
        <v>2.5714000000000001</v>
      </c>
      <c r="C119" s="3">
        <v>2.0072299999999998</v>
      </c>
      <c r="D119">
        <v>2</v>
      </c>
    </row>
    <row r="120" spans="1:4" x14ac:dyDescent="0.35">
      <c r="A120" s="2">
        <v>45597</v>
      </c>
      <c r="B120" s="3">
        <v>2.7141700000000002</v>
      </c>
      <c r="C120" s="3">
        <v>2.2364000000000002</v>
      </c>
      <c r="D120">
        <v>2</v>
      </c>
    </row>
    <row r="121" spans="1:4" x14ac:dyDescent="0.35">
      <c r="A121" s="2">
        <v>45627</v>
      </c>
      <c r="B121" s="3">
        <v>2.8723700000000001</v>
      </c>
      <c r="C121" s="3">
        <v>2.43431</v>
      </c>
      <c r="D121">
        <v>2</v>
      </c>
    </row>
    <row r="122" spans="1:4" x14ac:dyDescent="0.35">
      <c r="A122" s="2">
        <v>45658</v>
      </c>
      <c r="B122" s="3">
        <v>2.9994100000000001</v>
      </c>
      <c r="C122" s="3">
        <v>2.5157699999999998</v>
      </c>
      <c r="D122">
        <v>2</v>
      </c>
    </row>
    <row r="123" spans="1:4" x14ac:dyDescent="0.35">
      <c r="A123" s="2">
        <v>45689</v>
      </c>
      <c r="B123" s="3">
        <v>2.81427</v>
      </c>
      <c r="C123" s="3">
        <v>2.3315600000000001</v>
      </c>
      <c r="D123">
        <v>2</v>
      </c>
    </row>
    <row r="124" spans="1:4" x14ac:dyDescent="0.35">
      <c r="A124" s="2">
        <v>45717</v>
      </c>
      <c r="B124" s="3">
        <v>2.4055900000000001</v>
      </c>
      <c r="C124" s="3">
        <v>2.17842</v>
      </c>
      <c r="D124">
        <v>2</v>
      </c>
    </row>
    <row r="125" spans="1:4" x14ac:dyDescent="0.35">
      <c r="A125" s="2">
        <v>45748</v>
      </c>
      <c r="B125" s="3">
        <v>2.3337500000000002</v>
      </c>
      <c r="C125" s="3">
        <v>2.16581</v>
      </c>
      <c r="D125">
        <v>2</v>
      </c>
    </row>
    <row r="126" spans="1:4" x14ac:dyDescent="0.35">
      <c r="A126" s="2">
        <v>45778</v>
      </c>
      <c r="B126" s="3">
        <v>2.3759299999999999</v>
      </c>
      <c r="C126" s="3">
        <v>1.89994</v>
      </c>
      <c r="D126">
        <v>2</v>
      </c>
    </row>
    <row r="127" spans="1:4" x14ac:dyDescent="0.35">
      <c r="A127" s="2">
        <v>45809</v>
      </c>
      <c r="B127" s="3">
        <v>2.6726800000000002</v>
      </c>
      <c r="C127" s="3">
        <v>1.99068</v>
      </c>
      <c r="D127">
        <v>2</v>
      </c>
    </row>
    <row r="128" spans="1:4" x14ac:dyDescent="0.35">
      <c r="A128" s="2">
        <v>45839</v>
      </c>
      <c r="B128" s="3">
        <v>2.7317999999999998</v>
      </c>
      <c r="C128" s="3">
        <v>2.0306600000000001</v>
      </c>
      <c r="D128">
        <v>2</v>
      </c>
    </row>
    <row r="129" spans="1:4" x14ac:dyDescent="0.35">
      <c r="A129" s="2">
        <v>45870</v>
      </c>
      <c r="B129" s="3">
        <v>2.9392200000000002</v>
      </c>
      <c r="C129" s="3">
        <v>2.0437099999999999</v>
      </c>
      <c r="D129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B7FA-E269-4F8A-A855-D12A3A493725}">
  <dimension ref="A1:D43"/>
  <sheetViews>
    <sheetView workbookViewId="0">
      <selection activeCell="J29" sqref="J29"/>
    </sheetView>
  </sheetViews>
  <sheetFormatPr defaultRowHeight="14.5" x14ac:dyDescent="0.35"/>
  <cols>
    <col min="1" max="1" width="3.90625" style="1" bestFit="1" customWidth="1"/>
    <col min="2" max="2" width="8.6328125" style="1" bestFit="1" customWidth="1"/>
    <col min="3" max="3" width="30" style="1" customWidth="1"/>
    <col min="4" max="4" width="34" style="1" customWidth="1"/>
    <col min="5" max="16384" width="8.7265625" style="1"/>
  </cols>
  <sheetData>
    <row r="1" spans="1:4" x14ac:dyDescent="0.35">
      <c r="A1" s="1" t="s">
        <v>50</v>
      </c>
      <c r="B1" s="1" t="s">
        <v>49</v>
      </c>
      <c r="C1" s="1" t="s">
        <v>5</v>
      </c>
      <c r="D1" s="1" t="s">
        <v>6</v>
      </c>
    </row>
    <row r="2" spans="1:4" x14ac:dyDescent="0.35">
      <c r="A2" s="1">
        <v>0</v>
      </c>
      <c r="B2" s="2" t="s">
        <v>7</v>
      </c>
      <c r="C2" s="3">
        <v>3.9693000000000001</v>
      </c>
      <c r="D2" s="3">
        <v>1.8670100000000001</v>
      </c>
    </row>
    <row r="3" spans="1:4" x14ac:dyDescent="0.35">
      <c r="A3" s="1">
        <f>A2+1</f>
        <v>1</v>
      </c>
      <c r="B3" s="2" t="s">
        <v>8</v>
      </c>
      <c r="C3" s="3">
        <v>3.2790900000000001</v>
      </c>
      <c r="D3" s="3">
        <v>2.0528900000000001</v>
      </c>
    </row>
    <row r="4" spans="1:4" x14ac:dyDescent="0.35">
      <c r="A4" s="1">
        <f t="shared" ref="A4:A43" si="0">A3+1</f>
        <v>2</v>
      </c>
      <c r="B4" s="2" t="s">
        <v>9</v>
      </c>
      <c r="C4" s="3">
        <v>2.4473199999999999</v>
      </c>
      <c r="D4" s="3">
        <v>1.98475</v>
      </c>
    </row>
    <row r="5" spans="1:4" x14ac:dyDescent="0.35">
      <c r="A5" s="1">
        <f t="shared" si="0"/>
        <v>3</v>
      </c>
      <c r="B5" s="2" t="s">
        <v>10</v>
      </c>
      <c r="C5" s="3">
        <v>2.1198600000000001</v>
      </c>
      <c r="D5" s="3">
        <v>2.1167899999999999</v>
      </c>
    </row>
    <row r="6" spans="1:4" x14ac:dyDescent="0.35">
      <c r="A6" s="1">
        <f t="shared" si="0"/>
        <v>4</v>
      </c>
      <c r="B6" s="2" t="s">
        <v>11</v>
      </c>
      <c r="C6" s="3">
        <v>1.7950200000000001</v>
      </c>
      <c r="D6" s="3">
        <v>1.8289800000000001</v>
      </c>
    </row>
    <row r="7" spans="1:4" x14ac:dyDescent="0.35">
      <c r="A7" s="1">
        <f t="shared" si="0"/>
        <v>5</v>
      </c>
      <c r="B7" s="2" t="s">
        <v>12</v>
      </c>
      <c r="C7" s="3">
        <v>1.49325</v>
      </c>
      <c r="D7" s="3">
        <v>1.5978300000000001</v>
      </c>
    </row>
    <row r="8" spans="1:4" x14ac:dyDescent="0.35">
      <c r="A8" s="1">
        <f t="shared" si="0"/>
        <v>6</v>
      </c>
      <c r="B8" s="2" t="s">
        <v>13</v>
      </c>
      <c r="C8" s="3">
        <v>1.80576</v>
      </c>
      <c r="D8" s="3">
        <v>1.66405</v>
      </c>
    </row>
    <row r="9" spans="1:4" x14ac:dyDescent="0.35">
      <c r="A9" s="1">
        <f t="shared" si="0"/>
        <v>7</v>
      </c>
      <c r="B9" s="2" t="s">
        <v>14</v>
      </c>
      <c r="C9" s="3">
        <v>2.1815699999999998</v>
      </c>
      <c r="D9" s="3">
        <v>1.90781</v>
      </c>
    </row>
    <row r="10" spans="1:4" x14ac:dyDescent="0.35">
      <c r="A10" s="1">
        <f t="shared" si="0"/>
        <v>8</v>
      </c>
      <c r="B10" s="2" t="s">
        <v>15</v>
      </c>
      <c r="C10" s="3">
        <v>2.0874600000000001</v>
      </c>
      <c r="D10" s="3">
        <v>2.26119</v>
      </c>
    </row>
    <row r="11" spans="1:4" x14ac:dyDescent="0.35">
      <c r="A11" s="1">
        <f t="shared" si="0"/>
        <v>9</v>
      </c>
      <c r="B11" s="2" t="s">
        <v>16</v>
      </c>
      <c r="C11" s="3">
        <v>2.3304100000000001</v>
      </c>
      <c r="D11" s="3">
        <v>2.7376200000000002</v>
      </c>
    </row>
    <row r="12" spans="1:4" x14ac:dyDescent="0.35">
      <c r="A12" s="1">
        <f t="shared" si="0"/>
        <v>10</v>
      </c>
      <c r="B12" s="2" t="s">
        <v>17</v>
      </c>
      <c r="C12" s="3">
        <v>2.4108200000000002</v>
      </c>
      <c r="D12" s="3">
        <v>2.9976799999999999</v>
      </c>
    </row>
    <row r="13" spans="1:4" x14ac:dyDescent="0.35">
      <c r="A13" s="1">
        <f t="shared" si="0"/>
        <v>11</v>
      </c>
      <c r="B13" s="2" t="s">
        <v>18</v>
      </c>
      <c r="C13" s="3">
        <v>2.9941399999999998</v>
      </c>
      <c r="D13" s="3">
        <v>3.0567799999999998</v>
      </c>
    </row>
    <row r="14" spans="1:4" x14ac:dyDescent="0.35">
      <c r="A14" s="1">
        <f t="shared" si="0"/>
        <v>12</v>
      </c>
      <c r="B14" s="2" t="s">
        <v>19</v>
      </c>
      <c r="C14" s="3">
        <v>3.3288099999999998</v>
      </c>
      <c r="D14" s="3">
        <v>2.27182</v>
      </c>
    </row>
    <row r="15" spans="1:4" x14ac:dyDescent="0.35">
      <c r="A15" s="1">
        <f t="shared" si="0"/>
        <v>13</v>
      </c>
      <c r="B15" s="2" t="s">
        <v>20</v>
      </c>
      <c r="C15" s="3">
        <v>3.2989600000000001</v>
      </c>
      <c r="D15" s="3">
        <v>2.1103900000000002</v>
      </c>
    </row>
    <row r="16" spans="1:4" x14ac:dyDescent="0.35">
      <c r="A16" s="1">
        <f t="shared" si="0"/>
        <v>14</v>
      </c>
      <c r="B16" s="2" t="s">
        <v>21</v>
      </c>
      <c r="C16" s="3">
        <v>3.1300300000000001</v>
      </c>
      <c r="D16" s="3">
        <v>1.4484699999999999</v>
      </c>
    </row>
    <row r="17" spans="1:4" x14ac:dyDescent="0.35">
      <c r="A17" s="1">
        <f t="shared" si="0"/>
        <v>15</v>
      </c>
      <c r="B17" s="2" t="s">
        <v>22</v>
      </c>
      <c r="C17" s="3">
        <v>2.1251099999999998</v>
      </c>
      <c r="D17" s="3">
        <v>1.17205</v>
      </c>
    </row>
    <row r="18" spans="1:4" x14ac:dyDescent="0.35">
      <c r="A18" s="1">
        <f t="shared" si="0"/>
        <v>16</v>
      </c>
      <c r="B18" s="2" t="s">
        <v>23</v>
      </c>
      <c r="C18" s="3">
        <v>1.9335599999999999</v>
      </c>
      <c r="D18" s="3">
        <v>1.8434200000000001</v>
      </c>
    </row>
    <row r="19" spans="1:4" x14ac:dyDescent="0.35">
      <c r="A19" s="1">
        <f t="shared" si="0"/>
        <v>17</v>
      </c>
      <c r="B19" s="2" t="s">
        <v>24</v>
      </c>
      <c r="C19" s="3">
        <v>2.24213</v>
      </c>
      <c r="D19" s="3">
        <v>1.6982600000000001</v>
      </c>
    </row>
    <row r="20" spans="1:4" x14ac:dyDescent="0.35">
      <c r="A20" s="1">
        <f t="shared" si="0"/>
        <v>18</v>
      </c>
      <c r="B20" s="2" t="s">
        <v>25</v>
      </c>
      <c r="C20" s="3">
        <v>2.7972199999999998</v>
      </c>
      <c r="D20" s="3">
        <v>1.8301700000000001</v>
      </c>
    </row>
    <row r="21" spans="1:4" x14ac:dyDescent="0.35">
      <c r="A21" s="1">
        <f t="shared" si="0"/>
        <v>19</v>
      </c>
      <c r="B21" s="2" t="s">
        <v>26</v>
      </c>
      <c r="C21" s="3">
        <v>3.3517800000000002</v>
      </c>
      <c r="D21" s="3">
        <v>1.1674500000000001</v>
      </c>
    </row>
    <row r="22" spans="1:4" x14ac:dyDescent="0.35">
      <c r="A22" s="1">
        <f t="shared" si="0"/>
        <v>20</v>
      </c>
      <c r="B22" s="2" t="s">
        <v>27</v>
      </c>
      <c r="C22" s="3">
        <v>1.3585400000000001</v>
      </c>
      <c r="D22" s="3">
        <v>-2.8632900000000001</v>
      </c>
    </row>
    <row r="23" spans="1:4" x14ac:dyDescent="0.35">
      <c r="A23" s="1">
        <f t="shared" si="0"/>
        <v>21</v>
      </c>
      <c r="B23" s="2" t="s">
        <v>28</v>
      </c>
      <c r="C23" s="3">
        <v>-7.3986099999999997</v>
      </c>
      <c r="D23" s="3">
        <v>-13.90531</v>
      </c>
    </row>
    <row r="24" spans="1:4" x14ac:dyDescent="0.35">
      <c r="A24" s="1">
        <f t="shared" si="0"/>
        <v>22</v>
      </c>
      <c r="B24" s="2" t="s">
        <v>29</v>
      </c>
      <c r="C24" s="3">
        <v>-1.36467</v>
      </c>
      <c r="D24" s="3">
        <v>-4.1194199999999999</v>
      </c>
    </row>
    <row r="25" spans="1:4" x14ac:dyDescent="0.35">
      <c r="A25" s="1">
        <f t="shared" si="0"/>
        <v>23</v>
      </c>
      <c r="B25" s="2" t="s">
        <v>30</v>
      </c>
      <c r="C25" s="3">
        <v>-0.92222000000000004</v>
      </c>
      <c r="D25" s="3">
        <v>-3.73759</v>
      </c>
    </row>
    <row r="26" spans="1:4" x14ac:dyDescent="0.35">
      <c r="A26" s="1">
        <f t="shared" si="0"/>
        <v>24</v>
      </c>
      <c r="B26" s="2" t="s">
        <v>31</v>
      </c>
      <c r="C26" s="3">
        <v>1.8007500000000001</v>
      </c>
      <c r="D26" s="3">
        <v>0.32327</v>
      </c>
    </row>
    <row r="27" spans="1:4" x14ac:dyDescent="0.35">
      <c r="A27" s="1">
        <f t="shared" si="0"/>
        <v>25</v>
      </c>
      <c r="B27" s="2" t="s">
        <v>32</v>
      </c>
      <c r="C27" s="3">
        <v>12.385669999999999</v>
      </c>
      <c r="D27" s="3">
        <v>15.23377</v>
      </c>
    </row>
    <row r="28" spans="1:4" x14ac:dyDescent="0.35">
      <c r="A28" s="1">
        <f t="shared" si="0"/>
        <v>26</v>
      </c>
      <c r="B28" s="2" t="s">
        <v>33</v>
      </c>
      <c r="C28" s="3">
        <v>5.1508099999999999</v>
      </c>
      <c r="D28" s="3">
        <v>5.0938100000000004</v>
      </c>
    </row>
    <row r="29" spans="1:4" x14ac:dyDescent="0.35">
      <c r="A29" s="1">
        <f t="shared" si="0"/>
        <v>27</v>
      </c>
      <c r="B29" s="2" t="s">
        <v>34</v>
      </c>
      <c r="C29" s="3">
        <v>5.7561799999999996</v>
      </c>
      <c r="D29" s="3">
        <v>5.6078599999999996</v>
      </c>
    </row>
    <row r="30" spans="1:4" x14ac:dyDescent="0.35">
      <c r="A30" s="1">
        <f t="shared" si="0"/>
        <v>28</v>
      </c>
      <c r="B30" s="2" t="s">
        <v>35</v>
      </c>
      <c r="C30" s="3">
        <v>4.0345800000000001</v>
      </c>
      <c r="D30" s="3">
        <v>5.5504499999999997</v>
      </c>
    </row>
    <row r="31" spans="1:4" x14ac:dyDescent="0.35">
      <c r="A31" s="1">
        <f t="shared" si="0"/>
        <v>29</v>
      </c>
      <c r="B31" s="2" t="s">
        <v>36</v>
      </c>
      <c r="C31" s="3">
        <v>2.4537900000000001</v>
      </c>
      <c r="D31" s="3">
        <v>4.2706600000000003</v>
      </c>
    </row>
    <row r="32" spans="1:4" x14ac:dyDescent="0.35">
      <c r="A32" s="1">
        <f t="shared" si="0"/>
        <v>30</v>
      </c>
      <c r="B32" s="2" t="s">
        <v>37</v>
      </c>
      <c r="C32" s="3">
        <v>2.34897</v>
      </c>
      <c r="D32" s="3">
        <v>2.9112800000000001</v>
      </c>
    </row>
    <row r="33" spans="1:4" x14ac:dyDescent="0.35">
      <c r="A33" s="1">
        <f t="shared" si="0"/>
        <v>31</v>
      </c>
      <c r="B33" s="2" t="s">
        <v>38</v>
      </c>
      <c r="C33" s="3">
        <v>1.31707</v>
      </c>
      <c r="D33" s="3">
        <v>2.0782699999999998</v>
      </c>
    </row>
    <row r="34" spans="1:4" x14ac:dyDescent="0.35">
      <c r="A34" s="1">
        <f t="shared" si="0"/>
        <v>32</v>
      </c>
      <c r="B34" s="2" t="s">
        <v>39</v>
      </c>
      <c r="C34" s="3">
        <v>2.31115</v>
      </c>
      <c r="D34" s="3">
        <v>1.2922</v>
      </c>
    </row>
    <row r="35" spans="1:4" x14ac:dyDescent="0.35">
      <c r="A35" s="1">
        <f t="shared" si="0"/>
        <v>33</v>
      </c>
      <c r="B35" s="2" t="s">
        <v>40</v>
      </c>
      <c r="C35" s="3">
        <v>2.7926099999999998</v>
      </c>
      <c r="D35" s="3">
        <v>0.54839000000000004</v>
      </c>
    </row>
    <row r="36" spans="1:4" x14ac:dyDescent="0.35">
      <c r="A36" s="1">
        <f t="shared" si="0"/>
        <v>34</v>
      </c>
      <c r="B36" s="2" t="s">
        <v>41</v>
      </c>
      <c r="C36" s="3">
        <v>3.23319</v>
      </c>
      <c r="D36" s="3">
        <v>4.5400000000000003E-2</v>
      </c>
    </row>
    <row r="37" spans="1:4" x14ac:dyDescent="0.35">
      <c r="A37" s="1">
        <f t="shared" si="0"/>
        <v>35</v>
      </c>
      <c r="B37" s="2" t="s">
        <v>42</v>
      </c>
      <c r="C37" s="3">
        <v>3.3908900000000002</v>
      </c>
      <c r="D37" s="3">
        <v>0.12679000000000001</v>
      </c>
    </row>
    <row r="38" spans="1:4" x14ac:dyDescent="0.35">
      <c r="A38" s="1">
        <f t="shared" si="0"/>
        <v>36</v>
      </c>
      <c r="B38" s="2" t="s">
        <v>43</v>
      </c>
      <c r="C38" s="3">
        <v>2.8632900000000001</v>
      </c>
      <c r="D38" s="3">
        <v>0.46810000000000002</v>
      </c>
    </row>
    <row r="39" spans="1:4" x14ac:dyDescent="0.35">
      <c r="A39" s="1">
        <f t="shared" si="0"/>
        <v>37</v>
      </c>
      <c r="B39" s="2" t="s">
        <v>44</v>
      </c>
      <c r="C39" s="3">
        <v>3.12663</v>
      </c>
      <c r="D39" s="3">
        <v>0.47259000000000001</v>
      </c>
    </row>
    <row r="40" spans="1:4" x14ac:dyDescent="0.35">
      <c r="A40" s="1">
        <f t="shared" si="0"/>
        <v>38</v>
      </c>
      <c r="B40" s="2" t="s">
        <v>45</v>
      </c>
      <c r="C40" s="3">
        <v>2.7913899999999998</v>
      </c>
      <c r="D40" s="3">
        <v>0.92066999999999999</v>
      </c>
    </row>
    <row r="41" spans="1:4" x14ac:dyDescent="0.35">
      <c r="A41" s="1">
        <f t="shared" si="0"/>
        <v>39</v>
      </c>
      <c r="B41" s="2" t="s">
        <v>46</v>
      </c>
      <c r="C41" s="3">
        <v>2.3997899999999999</v>
      </c>
      <c r="D41" s="3">
        <v>1.2782899999999999</v>
      </c>
    </row>
    <row r="42" spans="1:4" x14ac:dyDescent="0.35">
      <c r="A42" s="1">
        <f t="shared" si="0"/>
        <v>40</v>
      </c>
      <c r="B42" s="2" t="s">
        <v>47</v>
      </c>
      <c r="C42" s="3">
        <v>2.0192700000000001</v>
      </c>
      <c r="D42" s="3">
        <v>1.56823</v>
      </c>
    </row>
    <row r="43" spans="1:4" x14ac:dyDescent="0.35">
      <c r="A43" s="1">
        <f t="shared" si="0"/>
        <v>41</v>
      </c>
      <c r="B43" s="2" t="s">
        <v>48</v>
      </c>
      <c r="C43" s="3">
        <v>2.08047</v>
      </c>
      <c r="D43" s="3">
        <v>1.4841800000000001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C5A4-6D84-4B5E-A59E-7A4D280045B9}">
  <dimension ref="A1:C43"/>
  <sheetViews>
    <sheetView workbookViewId="0">
      <selection activeCell="E43" sqref="E43"/>
    </sheetView>
  </sheetViews>
  <sheetFormatPr defaultRowHeight="14.5" x14ac:dyDescent="0.35"/>
  <cols>
    <col min="1" max="1" width="8.7265625" style="1"/>
    <col min="2" max="2" width="30" style="1" customWidth="1"/>
    <col min="3" max="3" width="34" style="1" customWidth="1"/>
    <col min="4" max="16384" width="8.7265625" style="1"/>
  </cols>
  <sheetData>
    <row r="1" spans="1:3" x14ac:dyDescent="0.35">
      <c r="A1" s="1" t="str">
        <f>GDP_Growth!B1</f>
        <v>QUARTER</v>
      </c>
      <c r="B1" s="1" t="s">
        <v>57</v>
      </c>
      <c r="C1" s="1" t="s">
        <v>58</v>
      </c>
    </row>
    <row r="2" spans="1:3" x14ac:dyDescent="0.35">
      <c r="A2" s="1" t="str">
        <f>GDP_Growth!B2</f>
        <v>2015Q1</v>
      </c>
      <c r="B2" s="5">
        <v>6.2</v>
      </c>
      <c r="C2" s="6">
        <v>12.4</v>
      </c>
    </row>
    <row r="3" spans="1:3" x14ac:dyDescent="0.35">
      <c r="A3" s="1" t="str">
        <f>GDP_Growth!B3</f>
        <v>2015Q2</v>
      </c>
      <c r="B3" s="5">
        <v>5.8</v>
      </c>
      <c r="C3" s="6">
        <v>12.52</v>
      </c>
    </row>
    <row r="4" spans="1:3" x14ac:dyDescent="0.35">
      <c r="A4" s="1" t="str">
        <f>GDP_Growth!B4</f>
        <v>2015Q3</v>
      </c>
      <c r="B4" s="5">
        <v>5.7</v>
      </c>
      <c r="C4" s="6">
        <v>12.44</v>
      </c>
    </row>
    <row r="5" spans="1:3" x14ac:dyDescent="0.35">
      <c r="A5" s="1" t="str">
        <f>GDP_Growth!B5</f>
        <v>2015Q4</v>
      </c>
      <c r="B5" s="5">
        <v>5.7</v>
      </c>
      <c r="C5" s="6">
        <v>12.53</v>
      </c>
    </row>
    <row r="6" spans="1:3" x14ac:dyDescent="0.35">
      <c r="A6" s="1" t="str">
        <f>GDP_Growth!B6</f>
        <v>2016Q1</v>
      </c>
      <c r="B6" s="5">
        <v>5.9</v>
      </c>
      <c r="C6" s="6">
        <v>12.55</v>
      </c>
    </row>
    <row r="7" spans="1:3" x14ac:dyDescent="0.35">
      <c r="A7" s="1" t="str">
        <f>GDP_Growth!B7</f>
        <v>2016Q2</v>
      </c>
      <c r="B7" s="5">
        <v>5.2</v>
      </c>
      <c r="C7" s="6">
        <v>12.67</v>
      </c>
    </row>
    <row r="8" spans="1:3" x14ac:dyDescent="0.35">
      <c r="A8" s="1" t="str">
        <f>GDP_Growth!B8</f>
        <v>2016Q3</v>
      </c>
      <c r="B8" s="5">
        <v>5.0999999999999996</v>
      </c>
      <c r="C8" s="6">
        <v>12.65</v>
      </c>
    </row>
    <row r="9" spans="1:3" x14ac:dyDescent="0.35">
      <c r="A9" s="1" t="str">
        <f>GDP_Growth!B9</f>
        <v>2016Q4</v>
      </c>
      <c r="B9" s="5">
        <v>5.2</v>
      </c>
      <c r="C9" s="6">
        <v>12.55</v>
      </c>
    </row>
    <row r="10" spans="1:3" x14ac:dyDescent="0.35">
      <c r="A10" s="1" t="str">
        <f>GDP_Growth!B10</f>
        <v>2017Q1</v>
      </c>
      <c r="B10" s="5">
        <v>5.5</v>
      </c>
      <c r="C10" s="6">
        <v>12.46</v>
      </c>
    </row>
    <row r="11" spans="1:3" x14ac:dyDescent="0.35">
      <c r="A11" s="1" t="str">
        <f>GDP_Growth!B11</f>
        <v>2017Q2</v>
      </c>
      <c r="B11" s="5">
        <v>6</v>
      </c>
      <c r="C11" s="6">
        <v>12.51</v>
      </c>
    </row>
    <row r="12" spans="1:3" x14ac:dyDescent="0.35">
      <c r="A12" s="1" t="str">
        <f>GDP_Growth!B12</f>
        <v>2017Q3</v>
      </c>
      <c r="B12" s="5">
        <v>6</v>
      </c>
      <c r="C12" s="6">
        <v>12.41</v>
      </c>
    </row>
    <row r="13" spans="1:3" x14ac:dyDescent="0.35">
      <c r="A13" s="1" t="str">
        <f>GDP_Growth!B13</f>
        <v>2017Q4</v>
      </c>
      <c r="B13" s="5">
        <v>5.5</v>
      </c>
      <c r="C13" s="6">
        <v>12.47</v>
      </c>
    </row>
    <row r="14" spans="1:3" x14ac:dyDescent="0.35">
      <c r="A14" s="1" t="str">
        <f>GDP_Growth!B14</f>
        <v>2018Q1</v>
      </c>
      <c r="B14" s="5">
        <v>5.8</v>
      </c>
      <c r="C14" s="6">
        <v>12.44</v>
      </c>
    </row>
    <row r="15" spans="1:3" x14ac:dyDescent="0.35">
      <c r="A15" s="1" t="str">
        <f>GDP_Growth!B15</f>
        <v>2018Q2</v>
      </c>
      <c r="B15" s="5">
        <v>6.1</v>
      </c>
      <c r="C15" s="6">
        <v>12.49</v>
      </c>
    </row>
    <row r="16" spans="1:3" x14ac:dyDescent="0.35">
      <c r="A16" s="1" t="str">
        <f>GDP_Growth!B16</f>
        <v>2018Q3</v>
      </c>
      <c r="B16" s="5">
        <v>6.6</v>
      </c>
      <c r="C16" s="6">
        <v>12.46</v>
      </c>
    </row>
    <row r="17" spans="1:3" x14ac:dyDescent="0.35">
      <c r="A17" s="1" t="str">
        <f>GDP_Growth!B17</f>
        <v>2018Q4</v>
      </c>
      <c r="B17" s="5">
        <v>7.2</v>
      </c>
      <c r="C17" s="6">
        <v>12.52</v>
      </c>
    </row>
    <row r="18" spans="1:3" x14ac:dyDescent="0.35">
      <c r="A18" s="1" t="str">
        <f>GDP_Growth!B18</f>
        <v>2019Q1</v>
      </c>
      <c r="B18" s="5">
        <v>8.3000000000000007</v>
      </c>
      <c r="C18" s="6">
        <v>12.68</v>
      </c>
    </row>
    <row r="19" spans="1:3" x14ac:dyDescent="0.35">
      <c r="A19" s="1" t="str">
        <f>GDP_Growth!B19</f>
        <v>2019Q2</v>
      </c>
      <c r="B19" s="5">
        <v>7.3</v>
      </c>
      <c r="C19" s="6">
        <v>12.91</v>
      </c>
    </row>
    <row r="20" spans="1:3" x14ac:dyDescent="0.35">
      <c r="A20" s="1" t="str">
        <f>GDP_Growth!B20</f>
        <v>2019Q3</v>
      </c>
      <c r="B20" s="5">
        <v>6.9</v>
      </c>
      <c r="C20" s="6">
        <v>13.04</v>
      </c>
    </row>
    <row r="21" spans="1:3" x14ac:dyDescent="0.35">
      <c r="A21" s="1" t="str">
        <f>GDP_Growth!B21</f>
        <v>2019Q4</v>
      </c>
      <c r="B21" s="5">
        <v>6.7</v>
      </c>
      <c r="C21" s="6">
        <v>13.02</v>
      </c>
    </row>
    <row r="22" spans="1:3" x14ac:dyDescent="0.35">
      <c r="A22" s="1" t="str">
        <f>GDP_Growth!B22</f>
        <v>2020Q1</v>
      </c>
      <c r="B22" s="5">
        <v>8.9</v>
      </c>
      <c r="C22" s="6">
        <v>13.94</v>
      </c>
    </row>
    <row r="23" spans="1:3" x14ac:dyDescent="0.35">
      <c r="A23" s="1" t="str">
        <f>GDP_Growth!B23</f>
        <v>2020Q2</v>
      </c>
      <c r="B23" s="5">
        <v>24.2</v>
      </c>
      <c r="C23" s="6">
        <v>16.72</v>
      </c>
    </row>
    <row r="24" spans="1:3" x14ac:dyDescent="0.35">
      <c r="A24" s="1" t="str">
        <f>GDP_Growth!B24</f>
        <v>2020Q3</v>
      </c>
      <c r="B24" s="5">
        <v>15</v>
      </c>
      <c r="C24" s="6">
        <v>17.71</v>
      </c>
    </row>
    <row r="25" spans="1:3" x14ac:dyDescent="0.35">
      <c r="A25" s="1" t="str">
        <f>GDP_Growth!B25</f>
        <v>2020Q4</v>
      </c>
      <c r="B25" s="5">
        <v>12.2</v>
      </c>
      <c r="C25" s="6">
        <v>19.38</v>
      </c>
    </row>
    <row r="26" spans="1:3" x14ac:dyDescent="0.35">
      <c r="A26" s="1" t="str">
        <f>GDP_Growth!B26</f>
        <v>2021Q1</v>
      </c>
      <c r="B26" s="5">
        <v>19.600000000000001</v>
      </c>
      <c r="C26" s="6">
        <v>20.350000000000001</v>
      </c>
    </row>
    <row r="27" spans="1:3" x14ac:dyDescent="0.35">
      <c r="A27" s="1" t="str">
        <f>GDP_Growth!B27</f>
        <v>2021Q2</v>
      </c>
      <c r="B27" s="5">
        <v>10.4</v>
      </c>
      <c r="C27" s="6">
        <v>18.989999999999998</v>
      </c>
    </row>
    <row r="28" spans="1:3" x14ac:dyDescent="0.35">
      <c r="A28" s="1" t="str">
        <f>GDP_Growth!B28</f>
        <v>2021Q3</v>
      </c>
      <c r="B28" s="5">
        <v>8.6</v>
      </c>
      <c r="C28" s="6">
        <v>18.46</v>
      </c>
    </row>
    <row r="29" spans="1:3" x14ac:dyDescent="0.35">
      <c r="A29" s="1" t="str">
        <f>GDP_Growth!B29</f>
        <v>2021Q4</v>
      </c>
      <c r="B29" s="5">
        <v>6.7</v>
      </c>
      <c r="C29" s="6">
        <v>17.28</v>
      </c>
    </row>
    <row r="30" spans="1:3" x14ac:dyDescent="0.35">
      <c r="A30" s="1" t="str">
        <f>GDP_Growth!B30</f>
        <v>2022Q1</v>
      </c>
      <c r="B30" s="5">
        <v>3.8</v>
      </c>
      <c r="C30" s="6">
        <v>15.77</v>
      </c>
    </row>
    <row r="31" spans="1:3" x14ac:dyDescent="0.35">
      <c r="A31" s="1" t="str">
        <f>GDP_Growth!B31</f>
        <v>2022Q2</v>
      </c>
      <c r="B31" s="5">
        <v>2.5</v>
      </c>
      <c r="C31" s="6">
        <v>14.48</v>
      </c>
    </row>
    <row r="32" spans="1:3" x14ac:dyDescent="0.35">
      <c r="A32" s="1" t="str">
        <f>GDP_Growth!B32</f>
        <v>2022Q3</v>
      </c>
      <c r="B32" s="5">
        <v>3.3</v>
      </c>
      <c r="C32" s="6">
        <v>13.95</v>
      </c>
    </row>
    <row r="33" spans="1:3" x14ac:dyDescent="0.35">
      <c r="A33" s="1" t="str">
        <f>GDP_Growth!B33</f>
        <v>2022Q4</v>
      </c>
      <c r="B33" s="5">
        <v>3.8</v>
      </c>
      <c r="C33" s="6">
        <v>13.56</v>
      </c>
    </row>
    <row r="34" spans="1:3" x14ac:dyDescent="0.35">
      <c r="A34" s="1" t="str">
        <f>GDP_Growth!B34</f>
        <v>2023Q1</v>
      </c>
      <c r="B34" s="5">
        <v>5.5</v>
      </c>
      <c r="C34" s="6">
        <v>13.41</v>
      </c>
    </row>
    <row r="35" spans="1:3" x14ac:dyDescent="0.35">
      <c r="A35" s="1" t="str">
        <f>GDP_Growth!B35</f>
        <v>2023Q2</v>
      </c>
      <c r="B35" s="5">
        <v>5.9</v>
      </c>
      <c r="C35" s="6">
        <v>13.75</v>
      </c>
    </row>
    <row r="36" spans="1:3" x14ac:dyDescent="0.35">
      <c r="A36" s="1" t="str">
        <f>GDP_Growth!B36</f>
        <v>2023Q3</v>
      </c>
      <c r="B36" s="5">
        <v>5.5</v>
      </c>
      <c r="C36" s="6">
        <v>13.94</v>
      </c>
    </row>
    <row r="37" spans="1:3" x14ac:dyDescent="0.35">
      <c r="A37" s="1" t="str">
        <f>GDP_Growth!B37</f>
        <v>2023Q4</v>
      </c>
      <c r="B37" s="5">
        <v>5.5</v>
      </c>
      <c r="C37" s="6">
        <v>14.23</v>
      </c>
    </row>
    <row r="38" spans="1:3" x14ac:dyDescent="0.35">
      <c r="A38" s="1" t="str">
        <f>GDP_Growth!B38</f>
        <v>2024Q1</v>
      </c>
      <c r="B38" s="5">
        <v>6.1</v>
      </c>
      <c r="C38" s="6">
        <v>14.56</v>
      </c>
    </row>
    <row r="39" spans="1:3" x14ac:dyDescent="0.35">
      <c r="A39" s="1" t="str">
        <f>GDP_Growth!B39</f>
        <v>2024Q2</v>
      </c>
      <c r="B39" s="5">
        <v>5.8</v>
      </c>
      <c r="C39" s="6">
        <v>14.89</v>
      </c>
    </row>
    <row r="40" spans="1:3" x14ac:dyDescent="0.35">
      <c r="A40" s="1" t="str">
        <f>GDP_Growth!B40</f>
        <v>2024Q3</v>
      </c>
      <c r="B40" s="5">
        <v>5.0999999999999996</v>
      </c>
      <c r="C40" s="6">
        <v>15.13</v>
      </c>
    </row>
    <row r="41" spans="1:3" x14ac:dyDescent="0.35">
      <c r="A41" s="1" t="str">
        <f>GDP_Growth!B41</f>
        <v>2024Q4</v>
      </c>
      <c r="B41" s="5">
        <v>4.7</v>
      </c>
      <c r="C41" s="6">
        <v>15.19</v>
      </c>
    </row>
    <row r="42" spans="1:3" x14ac:dyDescent="0.35">
      <c r="A42" s="1" t="str">
        <f>GDP_Growth!B42</f>
        <v>2025Q1</v>
      </c>
      <c r="B42" s="5">
        <v>5.0999999999999996</v>
      </c>
      <c r="C42" s="6">
        <v>15.19</v>
      </c>
    </row>
    <row r="43" spans="1:3" x14ac:dyDescent="0.35">
      <c r="A43" s="1" t="str">
        <f>GDP_Growth!B43</f>
        <v>2025Q2</v>
      </c>
      <c r="B43" s="7">
        <v>5.3</v>
      </c>
      <c r="C43" s="8">
        <v>15.2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4D4E-A962-4F12-B495-5CEEE36FF15C}">
  <dimension ref="A1:C43"/>
  <sheetViews>
    <sheetView workbookViewId="0">
      <selection sqref="A1:C42"/>
    </sheetView>
  </sheetViews>
  <sheetFormatPr defaultRowHeight="14.5" x14ac:dyDescent="0.35"/>
  <cols>
    <col min="2" max="2" width="16.453125" bestFit="1" customWidth="1"/>
    <col min="3" max="3" width="28.7265625" bestFit="1" customWidth="1"/>
  </cols>
  <sheetData>
    <row r="1" spans="1:3" x14ac:dyDescent="0.35">
      <c r="A1" s="1" t="str">
        <f>GDP_Growth!B1</f>
        <v>QUARTER</v>
      </c>
      <c r="B1" s="1" t="s">
        <v>55</v>
      </c>
      <c r="C1" t="s">
        <v>56</v>
      </c>
    </row>
    <row r="2" spans="1:3" x14ac:dyDescent="0.35">
      <c r="A2" s="1" t="str">
        <f>GDP_Growth!B2</f>
        <v>2015Q1</v>
      </c>
      <c r="B2" s="5">
        <v>77.577031975949694</v>
      </c>
      <c r="C2" s="1">
        <v>59.5</v>
      </c>
    </row>
    <row r="3" spans="1:3" x14ac:dyDescent="0.35">
      <c r="A3" s="1" t="str">
        <f>GDP_Growth!B3</f>
        <v>2015Q2</v>
      </c>
      <c r="B3" s="5">
        <v>78.278556982782206</v>
      </c>
      <c r="C3" s="1">
        <v>59.2</v>
      </c>
    </row>
    <row r="4" spans="1:3" x14ac:dyDescent="0.35">
      <c r="A4" s="1" t="str">
        <f>GDP_Growth!B4</f>
        <v>2015Q3</v>
      </c>
      <c r="B4" s="5">
        <v>78.941760043727797</v>
      </c>
      <c r="C4" s="1">
        <v>58.8</v>
      </c>
    </row>
    <row r="5" spans="1:3" x14ac:dyDescent="0.35">
      <c r="A5" s="1" t="str">
        <f>GDP_Growth!B5</f>
        <v>2015Q4</v>
      </c>
      <c r="B5" s="5">
        <v>78.9769499863351</v>
      </c>
      <c r="C5" s="1">
        <v>58.6</v>
      </c>
    </row>
    <row r="6" spans="1:3" x14ac:dyDescent="0.35">
      <c r="A6" s="1" t="str">
        <f>GDP_Growth!B6</f>
        <v>2016Q1</v>
      </c>
      <c r="B6" s="5">
        <v>76.935054161415394</v>
      </c>
      <c r="C6" s="1">
        <v>58.1</v>
      </c>
    </row>
    <row r="7" spans="1:3" x14ac:dyDescent="0.35">
      <c r="A7" s="1" t="str">
        <f>GDP_Growth!B7</f>
        <v>2016Q2</v>
      </c>
      <c r="B7" s="5">
        <v>77.6255816303198</v>
      </c>
      <c r="C7" s="1">
        <v>58.2</v>
      </c>
    </row>
    <row r="8" spans="1:3" x14ac:dyDescent="0.35">
      <c r="A8" s="1" t="str">
        <f>GDP_Growth!B8</f>
        <v>2016Q3</v>
      </c>
      <c r="B8" s="5">
        <v>78.517168397598496</v>
      </c>
      <c r="C8" s="1">
        <v>58.1</v>
      </c>
    </row>
    <row r="9" spans="1:3" x14ac:dyDescent="0.35">
      <c r="A9" s="1" t="str">
        <f>GDP_Growth!B9</f>
        <v>2016Q4</v>
      </c>
      <c r="B9" s="5">
        <v>79.060260889448998</v>
      </c>
      <c r="C9" s="1">
        <v>58</v>
      </c>
    </row>
    <row r="10" spans="1:3" x14ac:dyDescent="0.35">
      <c r="A10" s="1" t="str">
        <f>GDP_Growth!B10</f>
        <v>2017Q1</v>
      </c>
      <c r="B10" s="5">
        <v>76.095777606681594</v>
      </c>
      <c r="C10" s="1">
        <v>58.1</v>
      </c>
    </row>
    <row r="11" spans="1:3" x14ac:dyDescent="0.35">
      <c r="A11" s="1" t="str">
        <f>GDP_Growth!B11</f>
        <v>2017Q2</v>
      </c>
      <c r="B11" s="5">
        <v>76.881873945166504</v>
      </c>
      <c r="C11" s="1">
        <v>58</v>
      </c>
    </row>
    <row r="12" spans="1:3" x14ac:dyDescent="0.35">
      <c r="A12" s="1" t="str">
        <f>GDP_Growth!B12</f>
        <v>2017Q3</v>
      </c>
      <c r="B12" s="5">
        <v>77.637351431004305</v>
      </c>
      <c r="C12" s="1">
        <v>57.7</v>
      </c>
    </row>
    <row r="13" spans="1:3" x14ac:dyDescent="0.35">
      <c r="A13" s="1" t="str">
        <f>GDP_Growth!B13</f>
        <v>2017Q4</v>
      </c>
      <c r="B13" s="5">
        <v>78.625093692159396</v>
      </c>
      <c r="C13" s="1">
        <v>57.5</v>
      </c>
    </row>
    <row r="14" spans="1:3" x14ac:dyDescent="0.35">
      <c r="A14" s="1" t="str">
        <f>GDP_Growth!B14</f>
        <v>2018Q1</v>
      </c>
      <c r="B14" s="5">
        <v>74.8970410076235</v>
      </c>
      <c r="C14" s="1">
        <v>57</v>
      </c>
    </row>
    <row r="15" spans="1:3" x14ac:dyDescent="0.35">
      <c r="A15" s="1" t="str">
        <f>GDP_Growth!B15</f>
        <v>2018Q2</v>
      </c>
      <c r="B15" s="5">
        <v>75.505604161396903</v>
      </c>
      <c r="C15" s="1">
        <v>57</v>
      </c>
    </row>
    <row r="16" spans="1:3" x14ac:dyDescent="0.35">
      <c r="A16" s="1" t="str">
        <f>GDP_Growth!B16</f>
        <v>2018Q3</v>
      </c>
      <c r="B16" s="5">
        <v>76.316689278569399</v>
      </c>
      <c r="C16" s="1">
        <v>57</v>
      </c>
    </row>
    <row r="17" spans="1:3" x14ac:dyDescent="0.35">
      <c r="A17" s="1" t="str">
        <f>GDP_Growth!B17</f>
        <v>2018Q4</v>
      </c>
      <c r="B17" s="5">
        <v>76.956903448184093</v>
      </c>
      <c r="C17" s="1">
        <v>57</v>
      </c>
    </row>
    <row r="18" spans="1:3" x14ac:dyDescent="0.35">
      <c r="A18" s="1" t="str">
        <f>GDP_Growth!B18</f>
        <v>2019Q1</v>
      </c>
      <c r="B18" s="5">
        <v>73.940215808049899</v>
      </c>
      <c r="C18" s="1">
        <v>56.8</v>
      </c>
    </row>
    <row r="19" spans="1:3" x14ac:dyDescent="0.35">
      <c r="A19" s="1" t="str">
        <f>GDP_Growth!B19</f>
        <v>2019Q2</v>
      </c>
      <c r="B19" s="5">
        <v>74.887083202278504</v>
      </c>
      <c r="C19" s="1">
        <v>56.9</v>
      </c>
    </row>
    <row r="20" spans="1:3" x14ac:dyDescent="0.35">
      <c r="A20" s="1" t="str">
        <f>GDP_Growth!B20</f>
        <v>2019Q3</v>
      </c>
      <c r="B20" s="5">
        <v>75.831271856165102</v>
      </c>
      <c r="C20" s="1">
        <v>56.9</v>
      </c>
    </row>
    <row r="21" spans="1:3" x14ac:dyDescent="0.35">
      <c r="A21" s="1" t="str">
        <f>GDP_Growth!B21</f>
        <v>2019Q4</v>
      </c>
      <c r="B21" s="5">
        <v>76.729810503494093</v>
      </c>
      <c r="C21" s="1">
        <v>57</v>
      </c>
    </row>
    <row r="22" spans="1:3" x14ac:dyDescent="0.35">
      <c r="A22" s="1" t="str">
        <f>GDP_Growth!B22</f>
        <v>2020Q1</v>
      </c>
      <c r="B22" s="5">
        <v>77.694899697365301</v>
      </c>
      <c r="C22" s="1">
        <v>57</v>
      </c>
    </row>
    <row r="23" spans="1:3" x14ac:dyDescent="0.35">
      <c r="A23" s="1" t="str">
        <f>GDP_Growth!B23</f>
        <v>2020Q2</v>
      </c>
      <c r="B23" s="5">
        <v>77.728293713743795</v>
      </c>
      <c r="C23" s="1">
        <v>59.2</v>
      </c>
    </row>
    <row r="24" spans="1:3" x14ac:dyDescent="0.35">
      <c r="A24" s="1" t="str">
        <f>GDP_Growth!B24</f>
        <v>2020Q3</v>
      </c>
      <c r="B24" s="5">
        <v>78.939352467029195</v>
      </c>
      <c r="C24" s="1">
        <v>60.1</v>
      </c>
    </row>
    <row r="25" spans="1:3" x14ac:dyDescent="0.35">
      <c r="A25" s="1" t="str">
        <f>GDP_Growth!B25</f>
        <v>2020Q4</v>
      </c>
      <c r="B25" s="5">
        <v>80.2059461579437</v>
      </c>
      <c r="C25" s="1">
        <v>61.2</v>
      </c>
    </row>
    <row r="26" spans="1:3" x14ac:dyDescent="0.35">
      <c r="A26" s="1" t="str">
        <f>GDP_Growth!B26</f>
        <v>2021Q1</v>
      </c>
      <c r="B26" s="5">
        <v>73.025181394081997</v>
      </c>
      <c r="C26" s="1">
        <v>61.4</v>
      </c>
    </row>
    <row r="27" spans="1:3" x14ac:dyDescent="0.35">
      <c r="A27" s="1" t="str">
        <f>GDP_Growth!B27</f>
        <v>2021Q2</v>
      </c>
      <c r="B27" s="5">
        <v>76.051108105911098</v>
      </c>
      <c r="C27" s="1">
        <v>60</v>
      </c>
    </row>
    <row r="28" spans="1:3" x14ac:dyDescent="0.35">
      <c r="A28" s="1" t="str">
        <f>GDP_Growth!B28</f>
        <v>2021Q3</v>
      </c>
      <c r="B28" s="5">
        <v>77.513109041253202</v>
      </c>
      <c r="C28" s="1">
        <v>59.4</v>
      </c>
    </row>
    <row r="29" spans="1:3" x14ac:dyDescent="0.35">
      <c r="A29" s="1" t="str">
        <f>GDP_Growth!B29</f>
        <v>2021Q4</v>
      </c>
      <c r="B29" s="5">
        <v>79.138256442089599</v>
      </c>
      <c r="C29" s="1">
        <v>58.7</v>
      </c>
    </row>
    <row r="30" spans="1:3" x14ac:dyDescent="0.35">
      <c r="A30" s="1" t="str">
        <f>GDP_Growth!B30</f>
        <v>2022Q1</v>
      </c>
      <c r="B30" s="5">
        <v>73.190168762905202</v>
      </c>
      <c r="C30" s="1">
        <v>58</v>
      </c>
    </row>
    <row r="31" spans="1:3" x14ac:dyDescent="0.35">
      <c r="A31" s="1" t="str">
        <f>GDP_Growth!B31</f>
        <v>2022Q2</v>
      </c>
      <c r="B31" s="5">
        <v>74.599875417677595</v>
      </c>
      <c r="C31" s="1">
        <v>57.6</v>
      </c>
    </row>
    <row r="32" spans="1:3" x14ac:dyDescent="0.35">
      <c r="A32" s="1" t="str">
        <f>GDP_Growth!B32</f>
        <v>2022Q3</v>
      </c>
      <c r="B32" s="5">
        <v>75.837481591423796</v>
      </c>
      <c r="C32" s="1">
        <v>56.9</v>
      </c>
    </row>
    <row r="33" spans="1:3" x14ac:dyDescent="0.35">
      <c r="A33" s="1" t="str">
        <f>GDP_Growth!B33</f>
        <v>2022Q4</v>
      </c>
      <c r="B33" s="5">
        <v>76.645728633554896</v>
      </c>
      <c r="C33" s="1">
        <v>56</v>
      </c>
    </row>
    <row r="34" spans="1:3" x14ac:dyDescent="0.35">
      <c r="A34" s="1" t="str">
        <f>GDP_Growth!B34</f>
        <v>2023Q1</v>
      </c>
      <c r="B34" s="5">
        <v>72.024021738248194</v>
      </c>
      <c r="C34" s="1">
        <v>54.9</v>
      </c>
    </row>
    <row r="35" spans="1:3" x14ac:dyDescent="0.35">
      <c r="A35" s="1" t="str">
        <f>GDP_Growth!B35</f>
        <v>2023Q2</v>
      </c>
      <c r="B35" s="5">
        <v>72.629590315549095</v>
      </c>
      <c r="C35" s="1">
        <v>54.2</v>
      </c>
    </row>
    <row r="36" spans="1:3" x14ac:dyDescent="0.35">
      <c r="A36" s="1" t="str">
        <f>GDP_Growth!B36</f>
        <v>2023Q3</v>
      </c>
      <c r="B36" s="5">
        <v>73.274645594586701</v>
      </c>
      <c r="C36" s="1">
        <v>53.5</v>
      </c>
    </row>
    <row r="37" spans="1:3" x14ac:dyDescent="0.35">
      <c r="A37" s="1" t="str">
        <f>GDP_Growth!B37</f>
        <v>2023Q4</v>
      </c>
      <c r="B37" s="5">
        <v>73.8734647091662</v>
      </c>
      <c r="C37" s="1">
        <v>52.8</v>
      </c>
    </row>
    <row r="38" spans="1:3" x14ac:dyDescent="0.35">
      <c r="A38" s="1" t="str">
        <f>GDP_Growth!B38</f>
        <v>2024Q1</v>
      </c>
      <c r="B38" s="5">
        <v>70.404932002508104</v>
      </c>
      <c r="C38" s="1">
        <v>52.2</v>
      </c>
    </row>
    <row r="39" spans="1:3" x14ac:dyDescent="0.35">
      <c r="A39" s="1" t="str">
        <f>GDP_Growth!B39</f>
        <v>2024Q2</v>
      </c>
      <c r="B39" s="5">
        <v>70.964944200596904</v>
      </c>
      <c r="C39" s="1">
        <v>52</v>
      </c>
    </row>
    <row r="40" spans="1:3" x14ac:dyDescent="0.35">
      <c r="A40" s="1" t="str">
        <f>GDP_Growth!B40</f>
        <v>2024Q3</v>
      </c>
      <c r="B40" s="5">
        <v>71.555732587742298</v>
      </c>
      <c r="C40" s="1">
        <v>51.7</v>
      </c>
    </row>
    <row r="41" spans="1:3" x14ac:dyDescent="0.35">
      <c r="A41" s="1" t="str">
        <f>GDP_Growth!B41</f>
        <v>2024Q4</v>
      </c>
      <c r="B41" s="5">
        <v>71.3997272562181</v>
      </c>
      <c r="C41" s="1">
        <v>51.4</v>
      </c>
    </row>
    <row r="42" spans="1:3" x14ac:dyDescent="0.35">
      <c r="A42" s="1" t="str">
        <f>GDP_Growth!B42</f>
        <v>2025Q1</v>
      </c>
      <c r="B42" s="5">
        <v>68.100243290922904</v>
      </c>
      <c r="C42" s="1">
        <v>51.1</v>
      </c>
    </row>
    <row r="43" spans="1:3" x14ac:dyDescent="0.35">
      <c r="A43" s="1" t="str">
        <f>GDP_Growth!B43</f>
        <v>2025Q2</v>
      </c>
      <c r="B43" s="9"/>
      <c r="C43" s="1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5176-166B-4717-96EC-7012C089B7B2}">
  <dimension ref="A1:C129"/>
  <sheetViews>
    <sheetView workbookViewId="0">
      <selection activeCell="A19" sqref="A1:C1048576"/>
    </sheetView>
  </sheetViews>
  <sheetFormatPr defaultRowHeight="14.5" x14ac:dyDescent="0.35"/>
  <cols>
    <col min="1" max="1" width="14.81640625" style="1" bestFit="1" customWidth="1"/>
    <col min="2" max="2" width="30" style="4" customWidth="1"/>
    <col min="3" max="3" width="30" style="4" customWidth="1"/>
  </cols>
  <sheetData>
    <row r="1" spans="1:3" x14ac:dyDescent="0.35">
      <c r="A1" s="1" t="s">
        <v>0</v>
      </c>
      <c r="B1" s="4" t="s">
        <v>3</v>
      </c>
      <c r="C1" s="4" t="s">
        <v>4</v>
      </c>
    </row>
    <row r="2" spans="1:3" x14ac:dyDescent="0.35">
      <c r="A2" s="2">
        <v>41640</v>
      </c>
      <c r="B2" s="4">
        <v>7.0000000000000007E-2</v>
      </c>
      <c r="C2" s="4">
        <v>0.25</v>
      </c>
    </row>
    <row r="3" spans="1:3" x14ac:dyDescent="0.35">
      <c r="A3" s="2">
        <v>41671</v>
      </c>
      <c r="B3" s="4">
        <v>7.0000000000000007E-2</v>
      </c>
      <c r="C3" s="4">
        <v>0.25</v>
      </c>
    </row>
    <row r="4" spans="1:3" x14ac:dyDescent="0.35">
      <c r="A4" s="2">
        <v>41699</v>
      </c>
      <c r="B4" s="4">
        <v>0.08</v>
      </c>
      <c r="C4" s="4">
        <v>0.25</v>
      </c>
    </row>
    <row r="5" spans="1:3" x14ac:dyDescent="0.35">
      <c r="A5" s="2">
        <v>41730</v>
      </c>
      <c r="B5" s="4">
        <v>0.09</v>
      </c>
      <c r="C5" s="4">
        <v>0.25</v>
      </c>
    </row>
    <row r="6" spans="1:3" x14ac:dyDescent="0.35">
      <c r="A6" s="2">
        <v>41760</v>
      </c>
      <c r="B6" s="4">
        <v>0.09</v>
      </c>
      <c r="C6" s="4">
        <v>0.25</v>
      </c>
    </row>
    <row r="7" spans="1:3" x14ac:dyDescent="0.35">
      <c r="A7" s="2">
        <v>41791</v>
      </c>
      <c r="B7" s="4">
        <v>0.1</v>
      </c>
      <c r="C7" s="4">
        <v>0.15</v>
      </c>
    </row>
    <row r="8" spans="1:3" x14ac:dyDescent="0.35">
      <c r="A8" s="2">
        <v>41821</v>
      </c>
      <c r="B8" s="4">
        <v>0.09</v>
      </c>
      <c r="C8" s="4">
        <v>0.15</v>
      </c>
    </row>
    <row r="9" spans="1:3" x14ac:dyDescent="0.35">
      <c r="A9" s="2">
        <v>41852</v>
      </c>
      <c r="B9" s="4">
        <v>0.09</v>
      </c>
      <c r="C9" s="4">
        <v>0.15</v>
      </c>
    </row>
    <row r="10" spans="1:3" x14ac:dyDescent="0.35">
      <c r="A10" s="2">
        <v>41883</v>
      </c>
      <c r="B10" s="4">
        <v>0.09</v>
      </c>
      <c r="C10" s="4">
        <v>0.05</v>
      </c>
    </row>
    <row r="11" spans="1:3" x14ac:dyDescent="0.35">
      <c r="A11" s="2">
        <v>41913</v>
      </c>
      <c r="B11" s="4">
        <v>0.09</v>
      </c>
      <c r="C11" s="4">
        <v>0.05</v>
      </c>
    </row>
    <row r="12" spans="1:3" x14ac:dyDescent="0.35">
      <c r="A12" s="2">
        <v>41944</v>
      </c>
      <c r="B12" s="4">
        <v>0.09</v>
      </c>
      <c r="C12" s="4">
        <v>0.05</v>
      </c>
    </row>
    <row r="13" spans="1:3" x14ac:dyDescent="0.35">
      <c r="A13" s="2">
        <v>41974</v>
      </c>
      <c r="B13" s="4">
        <v>0.12</v>
      </c>
      <c r="C13" s="4">
        <v>0.05</v>
      </c>
    </row>
    <row r="14" spans="1:3" x14ac:dyDescent="0.35">
      <c r="A14" s="2">
        <v>42005</v>
      </c>
      <c r="B14" s="4">
        <v>0.11</v>
      </c>
      <c r="C14" s="4">
        <v>0.05</v>
      </c>
    </row>
    <row r="15" spans="1:3" x14ac:dyDescent="0.35">
      <c r="A15" s="2">
        <v>42036</v>
      </c>
      <c r="B15" s="4">
        <v>0.11</v>
      </c>
      <c r="C15" s="4">
        <v>0.05</v>
      </c>
    </row>
    <row r="16" spans="1:3" x14ac:dyDescent="0.35">
      <c r="A16" s="2">
        <v>42064</v>
      </c>
      <c r="B16" s="4">
        <v>0.11</v>
      </c>
      <c r="C16" s="4">
        <v>0.05</v>
      </c>
    </row>
    <row r="17" spans="1:3" x14ac:dyDescent="0.35">
      <c r="A17" s="2">
        <v>42095</v>
      </c>
      <c r="B17" s="4">
        <v>0.12</v>
      </c>
      <c r="C17" s="4">
        <v>0.05</v>
      </c>
    </row>
    <row r="18" spans="1:3" x14ac:dyDescent="0.35">
      <c r="A18" s="2">
        <v>42125</v>
      </c>
      <c r="B18" s="4">
        <v>0.12</v>
      </c>
      <c r="C18" s="4">
        <v>0.05</v>
      </c>
    </row>
    <row r="19" spans="1:3" x14ac:dyDescent="0.35">
      <c r="A19" s="2">
        <v>42156</v>
      </c>
      <c r="B19" s="4">
        <v>0.13</v>
      </c>
      <c r="C19" s="4">
        <v>0.05</v>
      </c>
    </row>
    <row r="20" spans="1:3" x14ac:dyDescent="0.35">
      <c r="A20" s="2">
        <v>42186</v>
      </c>
      <c r="B20" s="4">
        <v>0.13</v>
      </c>
      <c r="C20" s="4">
        <v>0.05</v>
      </c>
    </row>
    <row r="21" spans="1:3" x14ac:dyDescent="0.35">
      <c r="A21" s="2">
        <v>42217</v>
      </c>
      <c r="B21" s="4">
        <v>0.14000000000000001</v>
      </c>
      <c r="C21" s="4">
        <v>0.05</v>
      </c>
    </row>
    <row r="22" spans="1:3" x14ac:dyDescent="0.35">
      <c r="A22" s="2">
        <v>42248</v>
      </c>
      <c r="B22" s="4">
        <v>0.14000000000000001</v>
      </c>
      <c r="C22" s="4">
        <v>0.05</v>
      </c>
    </row>
    <row r="23" spans="1:3" x14ac:dyDescent="0.35">
      <c r="A23" s="2">
        <v>42278</v>
      </c>
      <c r="B23" s="4">
        <v>0.12</v>
      </c>
      <c r="C23" s="4">
        <v>0.05</v>
      </c>
    </row>
    <row r="24" spans="1:3" x14ac:dyDescent="0.35">
      <c r="A24" s="2">
        <v>42309</v>
      </c>
      <c r="B24" s="4">
        <v>0.12</v>
      </c>
      <c r="C24" s="4">
        <v>0.05</v>
      </c>
    </row>
    <row r="25" spans="1:3" x14ac:dyDescent="0.35">
      <c r="A25" s="2">
        <v>42339</v>
      </c>
      <c r="B25" s="4">
        <v>0.24</v>
      </c>
      <c r="C25" s="4">
        <v>0.05</v>
      </c>
    </row>
    <row r="26" spans="1:3" x14ac:dyDescent="0.35">
      <c r="A26" s="2">
        <v>42370</v>
      </c>
      <c r="B26" s="4">
        <v>0.34</v>
      </c>
      <c r="C26" s="4">
        <v>0.05</v>
      </c>
    </row>
    <row r="27" spans="1:3" x14ac:dyDescent="0.35">
      <c r="A27" s="2">
        <v>42401</v>
      </c>
      <c r="B27" s="4">
        <v>0.38</v>
      </c>
      <c r="C27" s="4">
        <v>0.05</v>
      </c>
    </row>
    <row r="28" spans="1:3" x14ac:dyDescent="0.35">
      <c r="A28" s="2">
        <v>42430</v>
      </c>
      <c r="B28" s="4">
        <v>0.36</v>
      </c>
      <c r="C28" s="4">
        <v>0</v>
      </c>
    </row>
    <row r="29" spans="1:3" x14ac:dyDescent="0.35">
      <c r="A29" s="2">
        <v>42461</v>
      </c>
      <c r="B29" s="4">
        <v>0.37</v>
      </c>
      <c r="C29" s="4">
        <v>0</v>
      </c>
    </row>
    <row r="30" spans="1:3" x14ac:dyDescent="0.35">
      <c r="A30" s="2">
        <v>42491</v>
      </c>
      <c r="B30" s="4">
        <v>0.37</v>
      </c>
      <c r="C30" s="4">
        <v>0</v>
      </c>
    </row>
    <row r="31" spans="1:3" x14ac:dyDescent="0.35">
      <c r="A31" s="2">
        <v>42522</v>
      </c>
      <c r="B31" s="4">
        <v>0.38</v>
      </c>
      <c r="C31" s="4">
        <v>0</v>
      </c>
    </row>
    <row r="32" spans="1:3" x14ac:dyDescent="0.35">
      <c r="A32" s="2">
        <v>42552</v>
      </c>
      <c r="B32" s="4">
        <v>0.39</v>
      </c>
      <c r="C32" s="4">
        <v>0</v>
      </c>
    </row>
    <row r="33" spans="1:3" x14ac:dyDescent="0.35">
      <c r="A33" s="2">
        <v>42583</v>
      </c>
      <c r="B33" s="4">
        <v>0.4</v>
      </c>
      <c r="C33" s="4">
        <v>0</v>
      </c>
    </row>
    <row r="34" spans="1:3" x14ac:dyDescent="0.35">
      <c r="A34" s="2">
        <v>42614</v>
      </c>
      <c r="B34" s="4">
        <v>0.4</v>
      </c>
      <c r="C34" s="4">
        <v>0</v>
      </c>
    </row>
    <row r="35" spans="1:3" x14ac:dyDescent="0.35">
      <c r="A35" s="2">
        <v>42644</v>
      </c>
      <c r="B35" s="4">
        <v>0.4</v>
      </c>
      <c r="C35" s="4">
        <v>0</v>
      </c>
    </row>
    <row r="36" spans="1:3" x14ac:dyDescent="0.35">
      <c r="A36" s="2">
        <v>42675</v>
      </c>
      <c r="B36" s="4">
        <v>0.41</v>
      </c>
      <c r="C36" s="4">
        <v>0</v>
      </c>
    </row>
    <row r="37" spans="1:3" x14ac:dyDescent="0.35">
      <c r="A37" s="2">
        <v>42705</v>
      </c>
      <c r="B37" s="4">
        <v>0.54</v>
      </c>
      <c r="C37" s="4">
        <v>0</v>
      </c>
    </row>
    <row r="38" spans="1:3" x14ac:dyDescent="0.35">
      <c r="A38" s="2">
        <v>42736</v>
      </c>
      <c r="B38" s="4">
        <v>0.65</v>
      </c>
      <c r="C38" s="4">
        <v>0</v>
      </c>
    </row>
    <row r="39" spans="1:3" x14ac:dyDescent="0.35">
      <c r="A39" s="2">
        <v>42767</v>
      </c>
      <c r="B39" s="4">
        <v>0.66</v>
      </c>
      <c r="C39" s="4">
        <v>0</v>
      </c>
    </row>
    <row r="40" spans="1:3" x14ac:dyDescent="0.35">
      <c r="A40" s="2">
        <v>42795</v>
      </c>
      <c r="B40" s="4">
        <v>0.79</v>
      </c>
      <c r="C40" s="4">
        <v>0</v>
      </c>
    </row>
    <row r="41" spans="1:3" x14ac:dyDescent="0.35">
      <c r="A41" s="2">
        <v>42826</v>
      </c>
      <c r="B41" s="4">
        <v>0.9</v>
      </c>
      <c r="C41" s="4">
        <v>0</v>
      </c>
    </row>
    <row r="42" spans="1:3" x14ac:dyDescent="0.35">
      <c r="A42" s="2">
        <v>42856</v>
      </c>
      <c r="B42" s="4">
        <v>0.91</v>
      </c>
      <c r="C42" s="4">
        <v>0</v>
      </c>
    </row>
    <row r="43" spans="1:3" x14ac:dyDescent="0.35">
      <c r="A43" s="2">
        <v>42887</v>
      </c>
      <c r="B43" s="4">
        <v>1.04</v>
      </c>
      <c r="C43" s="4">
        <v>0</v>
      </c>
    </row>
    <row r="44" spans="1:3" x14ac:dyDescent="0.35">
      <c r="A44" s="2">
        <v>42917</v>
      </c>
      <c r="B44" s="4">
        <v>1.1499999999999999</v>
      </c>
      <c r="C44" s="4">
        <v>0</v>
      </c>
    </row>
    <row r="45" spans="1:3" x14ac:dyDescent="0.35">
      <c r="A45" s="2">
        <v>42948</v>
      </c>
      <c r="B45" s="4">
        <v>1.1599999999999999</v>
      </c>
      <c r="C45" s="4">
        <v>0</v>
      </c>
    </row>
    <row r="46" spans="1:3" x14ac:dyDescent="0.35">
      <c r="A46" s="2">
        <v>42979</v>
      </c>
      <c r="B46" s="4">
        <v>1.1499999999999999</v>
      </c>
      <c r="C46" s="4">
        <v>0</v>
      </c>
    </row>
    <row r="47" spans="1:3" x14ac:dyDescent="0.35">
      <c r="A47" s="2">
        <v>43009</v>
      </c>
      <c r="B47" s="4">
        <v>1.1499999999999999</v>
      </c>
      <c r="C47" s="4">
        <v>0</v>
      </c>
    </row>
    <row r="48" spans="1:3" x14ac:dyDescent="0.35">
      <c r="A48" s="2">
        <v>43040</v>
      </c>
      <c r="B48" s="4">
        <v>1.1599999999999999</v>
      </c>
      <c r="C48" s="4">
        <v>0</v>
      </c>
    </row>
    <row r="49" spans="1:3" x14ac:dyDescent="0.35">
      <c r="A49" s="2">
        <v>43070</v>
      </c>
      <c r="B49" s="4">
        <v>1.3</v>
      </c>
      <c r="C49" s="4">
        <v>0</v>
      </c>
    </row>
    <row r="50" spans="1:3" x14ac:dyDescent="0.35">
      <c r="A50" s="2">
        <v>43101</v>
      </c>
      <c r="B50" s="4">
        <v>1.41</v>
      </c>
      <c r="C50" s="4">
        <v>0</v>
      </c>
    </row>
    <row r="51" spans="1:3" x14ac:dyDescent="0.35">
      <c r="A51" s="2">
        <v>43132</v>
      </c>
      <c r="B51" s="4">
        <v>1.42</v>
      </c>
      <c r="C51" s="4">
        <v>0</v>
      </c>
    </row>
    <row r="52" spans="1:3" x14ac:dyDescent="0.35">
      <c r="A52" s="2">
        <v>43160</v>
      </c>
      <c r="B52" s="4">
        <v>1.51</v>
      </c>
      <c r="C52" s="4">
        <v>0</v>
      </c>
    </row>
    <row r="53" spans="1:3" x14ac:dyDescent="0.35">
      <c r="A53" s="2">
        <v>43191</v>
      </c>
      <c r="B53" s="4">
        <v>1.69</v>
      </c>
      <c r="C53" s="4">
        <v>0</v>
      </c>
    </row>
    <row r="54" spans="1:3" x14ac:dyDescent="0.35">
      <c r="A54" s="2">
        <v>43221</v>
      </c>
      <c r="B54" s="4">
        <v>1.7</v>
      </c>
      <c r="C54" s="4">
        <v>0</v>
      </c>
    </row>
    <row r="55" spans="1:3" x14ac:dyDescent="0.35">
      <c r="A55" s="2">
        <v>43252</v>
      </c>
      <c r="B55" s="4">
        <v>1.82</v>
      </c>
      <c r="C55" s="4">
        <v>0</v>
      </c>
    </row>
    <row r="56" spans="1:3" x14ac:dyDescent="0.35">
      <c r="A56" s="2">
        <v>43282</v>
      </c>
      <c r="B56" s="4">
        <v>1.91</v>
      </c>
      <c r="C56" s="4">
        <v>0</v>
      </c>
    </row>
    <row r="57" spans="1:3" x14ac:dyDescent="0.35">
      <c r="A57" s="2">
        <v>43313</v>
      </c>
      <c r="B57" s="4">
        <v>1.91</v>
      </c>
      <c r="C57" s="4">
        <v>0</v>
      </c>
    </row>
    <row r="58" spans="1:3" x14ac:dyDescent="0.35">
      <c r="A58" s="2">
        <v>43344</v>
      </c>
      <c r="B58" s="4">
        <v>1.95</v>
      </c>
      <c r="C58" s="4">
        <v>0</v>
      </c>
    </row>
    <row r="59" spans="1:3" x14ac:dyDescent="0.35">
      <c r="A59" s="2">
        <v>43374</v>
      </c>
      <c r="B59" s="4">
        <v>2.19</v>
      </c>
      <c r="C59" s="4">
        <v>0</v>
      </c>
    </row>
    <row r="60" spans="1:3" x14ac:dyDescent="0.35">
      <c r="A60" s="2">
        <v>43405</v>
      </c>
      <c r="B60" s="4">
        <v>2.2000000000000002</v>
      </c>
      <c r="C60" s="4">
        <v>0</v>
      </c>
    </row>
    <row r="61" spans="1:3" x14ac:dyDescent="0.35">
      <c r="A61" s="2">
        <v>43435</v>
      </c>
      <c r="B61" s="4">
        <v>2.27</v>
      </c>
      <c r="C61" s="4">
        <v>0</v>
      </c>
    </row>
    <row r="62" spans="1:3" x14ac:dyDescent="0.35">
      <c r="A62" s="2">
        <v>43466</v>
      </c>
      <c r="B62" s="4">
        <v>2.4</v>
      </c>
      <c r="C62" s="4">
        <v>0</v>
      </c>
    </row>
    <row r="63" spans="1:3" x14ac:dyDescent="0.35">
      <c r="A63" s="2">
        <v>43497</v>
      </c>
      <c r="B63" s="4">
        <v>2.4</v>
      </c>
      <c r="C63" s="4">
        <v>0</v>
      </c>
    </row>
    <row r="64" spans="1:3" x14ac:dyDescent="0.35">
      <c r="A64" s="2">
        <v>43525</v>
      </c>
      <c r="B64" s="4">
        <v>2.41</v>
      </c>
      <c r="C64" s="4">
        <v>0</v>
      </c>
    </row>
    <row r="65" spans="1:3" x14ac:dyDescent="0.35">
      <c r="A65" s="2">
        <v>43556</v>
      </c>
      <c r="B65" s="4">
        <v>2.42</v>
      </c>
      <c r="C65" s="4">
        <v>0</v>
      </c>
    </row>
    <row r="66" spans="1:3" x14ac:dyDescent="0.35">
      <c r="A66" s="2">
        <v>43586</v>
      </c>
      <c r="B66" s="4">
        <v>2.39</v>
      </c>
      <c r="C66" s="4">
        <v>0</v>
      </c>
    </row>
    <row r="67" spans="1:3" x14ac:dyDescent="0.35">
      <c r="A67" s="2">
        <v>43617</v>
      </c>
      <c r="B67" s="4">
        <v>2.38</v>
      </c>
      <c r="C67" s="4">
        <v>0</v>
      </c>
    </row>
    <row r="68" spans="1:3" x14ac:dyDescent="0.35">
      <c r="A68" s="2">
        <v>43647</v>
      </c>
      <c r="B68" s="4">
        <v>2.4</v>
      </c>
      <c r="C68" s="4">
        <v>0</v>
      </c>
    </row>
    <row r="69" spans="1:3" x14ac:dyDescent="0.35">
      <c r="A69" s="2">
        <v>43678</v>
      </c>
      <c r="B69" s="4">
        <v>2.13</v>
      </c>
      <c r="C69" s="4">
        <v>0</v>
      </c>
    </row>
    <row r="70" spans="1:3" x14ac:dyDescent="0.35">
      <c r="A70" s="2">
        <v>43709</v>
      </c>
      <c r="B70" s="4">
        <v>2.04</v>
      </c>
      <c r="C70" s="4">
        <v>0</v>
      </c>
    </row>
    <row r="71" spans="1:3" x14ac:dyDescent="0.35">
      <c r="A71" s="2">
        <v>43739</v>
      </c>
      <c r="B71" s="4">
        <v>1.83</v>
      </c>
      <c r="C71" s="4">
        <v>0</v>
      </c>
    </row>
    <row r="72" spans="1:3" x14ac:dyDescent="0.35">
      <c r="A72" s="2">
        <v>43770</v>
      </c>
      <c r="B72" s="4">
        <v>1.55</v>
      </c>
      <c r="C72" s="4">
        <v>0</v>
      </c>
    </row>
    <row r="73" spans="1:3" x14ac:dyDescent="0.35">
      <c r="A73" s="2">
        <v>43800</v>
      </c>
      <c r="B73" s="4">
        <v>1.55</v>
      </c>
      <c r="C73" s="4">
        <v>0</v>
      </c>
    </row>
    <row r="74" spans="1:3" x14ac:dyDescent="0.35">
      <c r="A74" s="2">
        <v>43831</v>
      </c>
      <c r="B74" s="4">
        <v>1.55</v>
      </c>
      <c r="C74" s="4">
        <v>0</v>
      </c>
    </row>
    <row r="75" spans="1:3" x14ac:dyDescent="0.35">
      <c r="A75" s="2">
        <v>43862</v>
      </c>
      <c r="B75" s="4">
        <v>1.58</v>
      </c>
      <c r="C75" s="4">
        <v>0</v>
      </c>
    </row>
    <row r="76" spans="1:3" x14ac:dyDescent="0.35">
      <c r="A76" s="2">
        <v>43891</v>
      </c>
      <c r="B76" s="4">
        <v>0.65</v>
      </c>
      <c r="C76" s="4">
        <v>0</v>
      </c>
    </row>
    <row r="77" spans="1:3" x14ac:dyDescent="0.35">
      <c r="A77" s="2">
        <v>43922</v>
      </c>
      <c r="B77" s="4">
        <v>0.05</v>
      </c>
      <c r="C77" s="4">
        <v>0</v>
      </c>
    </row>
    <row r="78" spans="1:3" x14ac:dyDescent="0.35">
      <c r="A78" s="2">
        <v>43952</v>
      </c>
      <c r="B78" s="4">
        <v>0.05</v>
      </c>
      <c r="C78" s="4">
        <v>0</v>
      </c>
    </row>
    <row r="79" spans="1:3" x14ac:dyDescent="0.35">
      <c r="A79" s="2">
        <v>43983</v>
      </c>
      <c r="B79" s="4">
        <v>0.08</v>
      </c>
      <c r="C79" s="4">
        <v>0</v>
      </c>
    </row>
    <row r="80" spans="1:3" x14ac:dyDescent="0.35">
      <c r="A80" s="2">
        <v>44013</v>
      </c>
      <c r="B80" s="4">
        <v>0.09</v>
      </c>
      <c r="C80" s="4">
        <v>0</v>
      </c>
    </row>
    <row r="81" spans="1:3" x14ac:dyDescent="0.35">
      <c r="A81" s="2">
        <v>44044</v>
      </c>
      <c r="B81" s="4">
        <v>0.1</v>
      </c>
      <c r="C81" s="4">
        <v>0</v>
      </c>
    </row>
    <row r="82" spans="1:3" x14ac:dyDescent="0.35">
      <c r="A82" s="2">
        <v>44075</v>
      </c>
      <c r="B82" s="4">
        <v>0.09</v>
      </c>
      <c r="C82" s="4">
        <v>0</v>
      </c>
    </row>
    <row r="83" spans="1:3" x14ac:dyDescent="0.35">
      <c r="A83" s="2">
        <v>44105</v>
      </c>
      <c r="B83" s="4">
        <v>0.09</v>
      </c>
      <c r="C83" s="4">
        <v>0</v>
      </c>
    </row>
    <row r="84" spans="1:3" x14ac:dyDescent="0.35">
      <c r="A84" s="2">
        <v>44136</v>
      </c>
      <c r="B84" s="4">
        <v>0.09</v>
      </c>
      <c r="C84" s="4">
        <v>0</v>
      </c>
    </row>
    <row r="85" spans="1:3" x14ac:dyDescent="0.35">
      <c r="A85" s="2">
        <v>44166</v>
      </c>
      <c r="B85" s="4">
        <v>0.09</v>
      </c>
      <c r="C85" s="4">
        <v>0</v>
      </c>
    </row>
    <row r="86" spans="1:3" x14ac:dyDescent="0.35">
      <c r="A86" s="2">
        <v>44197</v>
      </c>
      <c r="B86" s="4">
        <v>0.09</v>
      </c>
      <c r="C86" s="4">
        <v>0</v>
      </c>
    </row>
    <row r="87" spans="1:3" x14ac:dyDescent="0.35">
      <c r="A87" s="2">
        <v>44228</v>
      </c>
      <c r="B87" s="4">
        <v>0.08</v>
      </c>
      <c r="C87" s="4">
        <v>0</v>
      </c>
    </row>
    <row r="88" spans="1:3" x14ac:dyDescent="0.35">
      <c r="A88" s="2">
        <v>44256</v>
      </c>
      <c r="B88" s="4">
        <v>7.0000000000000007E-2</v>
      </c>
      <c r="C88" s="4">
        <v>0</v>
      </c>
    </row>
    <row r="89" spans="1:3" x14ac:dyDescent="0.35">
      <c r="A89" s="2">
        <v>44287</v>
      </c>
      <c r="B89" s="4">
        <v>7.0000000000000007E-2</v>
      </c>
      <c r="C89" s="4">
        <v>0</v>
      </c>
    </row>
    <row r="90" spans="1:3" x14ac:dyDescent="0.35">
      <c r="A90" s="2">
        <v>44317</v>
      </c>
      <c r="B90" s="4">
        <v>0.06</v>
      </c>
      <c r="C90" s="4">
        <v>0</v>
      </c>
    </row>
    <row r="91" spans="1:3" x14ac:dyDescent="0.35">
      <c r="A91" s="2">
        <v>44348</v>
      </c>
      <c r="B91" s="4">
        <v>0.08</v>
      </c>
      <c r="C91" s="4">
        <v>0</v>
      </c>
    </row>
    <row r="92" spans="1:3" x14ac:dyDescent="0.35">
      <c r="A92" s="2">
        <v>44378</v>
      </c>
      <c r="B92" s="4">
        <v>0.1</v>
      </c>
      <c r="C92" s="4">
        <v>0</v>
      </c>
    </row>
    <row r="93" spans="1:3" x14ac:dyDescent="0.35">
      <c r="A93" s="2">
        <v>44409</v>
      </c>
      <c r="B93" s="4">
        <v>0.09</v>
      </c>
      <c r="C93" s="4">
        <v>0</v>
      </c>
    </row>
    <row r="94" spans="1:3" x14ac:dyDescent="0.35">
      <c r="A94" s="2">
        <v>44440</v>
      </c>
      <c r="B94" s="4">
        <v>0.08</v>
      </c>
      <c r="C94" s="4">
        <v>0</v>
      </c>
    </row>
    <row r="95" spans="1:3" x14ac:dyDescent="0.35">
      <c r="A95" s="2">
        <v>44470</v>
      </c>
      <c r="B95" s="4">
        <v>0.08</v>
      </c>
      <c r="C95" s="4">
        <v>0</v>
      </c>
    </row>
    <row r="96" spans="1:3" x14ac:dyDescent="0.35">
      <c r="A96" s="2">
        <v>44501</v>
      </c>
      <c r="B96" s="4">
        <v>0.08</v>
      </c>
      <c r="C96" s="4">
        <v>0</v>
      </c>
    </row>
    <row r="97" spans="1:3" x14ac:dyDescent="0.35">
      <c r="A97" s="2">
        <v>44531</v>
      </c>
      <c r="B97" s="4">
        <v>0.08</v>
      </c>
      <c r="C97" s="4">
        <v>0</v>
      </c>
    </row>
    <row r="98" spans="1:3" x14ac:dyDescent="0.35">
      <c r="A98" s="2">
        <v>44562</v>
      </c>
      <c r="B98" s="4">
        <v>0.08</v>
      </c>
      <c r="C98" s="4">
        <v>0</v>
      </c>
    </row>
    <row r="99" spans="1:3" x14ac:dyDescent="0.35">
      <c r="A99" s="2">
        <v>44593</v>
      </c>
      <c r="B99" s="4">
        <v>0.08</v>
      </c>
      <c r="C99" s="4">
        <v>0</v>
      </c>
    </row>
    <row r="100" spans="1:3" x14ac:dyDescent="0.35">
      <c r="A100" s="2">
        <v>44621</v>
      </c>
      <c r="B100" s="4">
        <v>0.2</v>
      </c>
      <c r="C100" s="4">
        <v>0</v>
      </c>
    </row>
    <row r="101" spans="1:3" x14ac:dyDescent="0.35">
      <c r="A101" s="2">
        <v>44652</v>
      </c>
      <c r="B101" s="4">
        <v>0.33</v>
      </c>
      <c r="C101" s="4">
        <v>0</v>
      </c>
    </row>
    <row r="102" spans="1:3" x14ac:dyDescent="0.35">
      <c r="A102" s="2">
        <v>44682</v>
      </c>
      <c r="B102" s="4">
        <v>0.77</v>
      </c>
      <c r="C102" s="4">
        <v>0</v>
      </c>
    </row>
    <row r="103" spans="1:3" x14ac:dyDescent="0.35">
      <c r="A103" s="2">
        <v>44713</v>
      </c>
      <c r="B103" s="4">
        <v>1.21</v>
      </c>
      <c r="C103" s="4">
        <v>0</v>
      </c>
    </row>
    <row r="104" spans="1:3" x14ac:dyDescent="0.35">
      <c r="A104" s="2">
        <v>44743</v>
      </c>
      <c r="B104" s="4">
        <v>1.68</v>
      </c>
      <c r="C104" s="4">
        <v>0.5</v>
      </c>
    </row>
    <row r="105" spans="1:3" x14ac:dyDescent="0.35">
      <c r="A105" s="2">
        <v>44774</v>
      </c>
      <c r="B105" s="4">
        <v>2.33</v>
      </c>
      <c r="C105" s="4">
        <v>0.5</v>
      </c>
    </row>
    <row r="106" spans="1:3" x14ac:dyDescent="0.35">
      <c r="A106" s="2">
        <v>44805</v>
      </c>
      <c r="B106" s="4">
        <v>2.56</v>
      </c>
      <c r="C106" s="4">
        <v>1.25</v>
      </c>
    </row>
    <row r="107" spans="1:3" x14ac:dyDescent="0.35">
      <c r="A107" s="2">
        <v>44835</v>
      </c>
      <c r="B107" s="4">
        <v>3.08</v>
      </c>
      <c r="C107" s="4">
        <v>2</v>
      </c>
    </row>
    <row r="108" spans="1:3" x14ac:dyDescent="0.35">
      <c r="A108" s="2">
        <v>44866</v>
      </c>
      <c r="B108" s="4">
        <v>3.78</v>
      </c>
      <c r="C108" s="4">
        <v>2</v>
      </c>
    </row>
    <row r="109" spans="1:3" x14ac:dyDescent="0.35">
      <c r="A109" s="2">
        <v>44896</v>
      </c>
      <c r="B109" s="4">
        <v>4.0999999999999996</v>
      </c>
      <c r="C109" s="4">
        <v>2.5</v>
      </c>
    </row>
    <row r="110" spans="1:3" x14ac:dyDescent="0.35">
      <c r="A110" s="2">
        <v>44927</v>
      </c>
      <c r="B110" s="4">
        <v>4.33</v>
      </c>
      <c r="C110" s="4">
        <v>3</v>
      </c>
    </row>
    <row r="111" spans="1:3" x14ac:dyDescent="0.35">
      <c r="A111" s="2">
        <v>44958</v>
      </c>
      <c r="B111" s="4">
        <v>4.57</v>
      </c>
      <c r="C111" s="4">
        <v>3</v>
      </c>
    </row>
    <row r="112" spans="1:3" x14ac:dyDescent="0.35">
      <c r="A112" s="2">
        <v>44986</v>
      </c>
      <c r="B112" s="4">
        <v>4.6500000000000004</v>
      </c>
      <c r="C112" s="4">
        <v>3.5</v>
      </c>
    </row>
    <row r="113" spans="1:3" x14ac:dyDescent="0.35">
      <c r="A113" s="2">
        <v>45017</v>
      </c>
      <c r="B113" s="4">
        <v>4.83</v>
      </c>
      <c r="C113" s="4">
        <v>3.75</v>
      </c>
    </row>
    <row r="114" spans="1:3" x14ac:dyDescent="0.35">
      <c r="A114" s="2">
        <v>45047</v>
      </c>
      <c r="B114" s="4">
        <v>5.0599999999999996</v>
      </c>
      <c r="C114" s="4">
        <v>3.75</v>
      </c>
    </row>
    <row r="115" spans="1:3" x14ac:dyDescent="0.35">
      <c r="A115" s="2">
        <v>45078</v>
      </c>
      <c r="B115" s="4">
        <v>5.08</v>
      </c>
      <c r="C115" s="4">
        <v>4</v>
      </c>
    </row>
    <row r="116" spans="1:3" x14ac:dyDescent="0.35">
      <c r="A116" s="2">
        <v>45108</v>
      </c>
      <c r="B116" s="4">
        <v>5.12</v>
      </c>
      <c r="C116" s="4">
        <v>4.25</v>
      </c>
    </row>
    <row r="117" spans="1:3" x14ac:dyDescent="0.35">
      <c r="A117" s="2">
        <v>45139</v>
      </c>
      <c r="B117" s="4">
        <v>5.33</v>
      </c>
      <c r="C117" s="4">
        <v>4.25</v>
      </c>
    </row>
    <row r="118" spans="1:3" x14ac:dyDescent="0.35">
      <c r="A118" s="2">
        <v>45170</v>
      </c>
      <c r="B118" s="4">
        <v>5.33</v>
      </c>
      <c r="C118" s="4">
        <v>4.5</v>
      </c>
    </row>
    <row r="119" spans="1:3" x14ac:dyDescent="0.35">
      <c r="A119" s="2">
        <v>45200</v>
      </c>
      <c r="B119" s="4">
        <v>5.33</v>
      </c>
      <c r="C119" s="4">
        <v>4.5</v>
      </c>
    </row>
    <row r="120" spans="1:3" x14ac:dyDescent="0.35">
      <c r="A120" s="2">
        <v>45231</v>
      </c>
      <c r="B120" s="4">
        <v>5.33</v>
      </c>
      <c r="C120" s="4">
        <v>4.5</v>
      </c>
    </row>
    <row r="121" spans="1:3" x14ac:dyDescent="0.35">
      <c r="A121" s="2">
        <v>45261</v>
      </c>
      <c r="B121" s="4">
        <v>5.33</v>
      </c>
      <c r="C121" s="4">
        <v>4.5</v>
      </c>
    </row>
    <row r="122" spans="1:3" x14ac:dyDescent="0.35">
      <c r="A122" s="2">
        <v>45292</v>
      </c>
      <c r="B122" s="4">
        <v>5.33</v>
      </c>
      <c r="C122" s="4">
        <v>4.5</v>
      </c>
    </row>
    <row r="123" spans="1:3" x14ac:dyDescent="0.35">
      <c r="A123" s="2">
        <v>45323</v>
      </c>
      <c r="B123" s="4">
        <v>5.33</v>
      </c>
      <c r="C123" s="4">
        <v>4.5</v>
      </c>
    </row>
    <row r="124" spans="1:3" x14ac:dyDescent="0.35">
      <c r="A124" s="2">
        <v>45352</v>
      </c>
      <c r="B124" s="4">
        <v>5.33</v>
      </c>
      <c r="C124" s="4">
        <v>4.5</v>
      </c>
    </row>
    <row r="125" spans="1:3" x14ac:dyDescent="0.35">
      <c r="A125" s="2">
        <v>45383</v>
      </c>
      <c r="B125" s="4">
        <v>5.33</v>
      </c>
      <c r="C125" s="4">
        <v>4.25</v>
      </c>
    </row>
    <row r="126" spans="1:3" x14ac:dyDescent="0.35">
      <c r="A126" s="2">
        <v>45413</v>
      </c>
      <c r="B126" s="4">
        <v>5.33</v>
      </c>
      <c r="C126" s="4">
        <v>4.25</v>
      </c>
    </row>
    <row r="127" spans="1:3" x14ac:dyDescent="0.35">
      <c r="A127" s="2">
        <v>45444</v>
      </c>
      <c r="B127" s="4">
        <v>5.33</v>
      </c>
      <c r="C127" s="4">
        <v>4.25</v>
      </c>
    </row>
    <row r="128" spans="1:3" x14ac:dyDescent="0.35">
      <c r="A128" s="2">
        <v>45474</v>
      </c>
      <c r="B128" s="4">
        <v>5.33</v>
      </c>
      <c r="C128" s="4">
        <v>4.25</v>
      </c>
    </row>
    <row r="129" spans="1:3" x14ac:dyDescent="0.35">
      <c r="A129" s="2">
        <v>45505</v>
      </c>
      <c r="B129" s="4">
        <v>5.33</v>
      </c>
      <c r="C129" s="4">
        <v>4.25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BA38-E228-4829-892E-5CA104F02FC8}">
  <dimension ref="A1:C129"/>
  <sheetViews>
    <sheetView workbookViewId="0">
      <selection activeCell="K46" sqref="K46"/>
    </sheetView>
  </sheetViews>
  <sheetFormatPr defaultRowHeight="14.5" x14ac:dyDescent="0.35"/>
  <cols>
    <col min="1" max="1" width="14.81640625" style="1" bestFit="1" customWidth="1"/>
    <col min="2" max="2" width="28" style="5" customWidth="1"/>
    <col min="3" max="3" width="32" style="5" customWidth="1"/>
  </cols>
  <sheetData>
    <row r="1" spans="1:3" x14ac:dyDescent="0.35">
      <c r="A1" s="1" t="s">
        <v>0</v>
      </c>
      <c r="B1" s="5" t="s">
        <v>1</v>
      </c>
      <c r="C1" s="5" t="s">
        <v>2</v>
      </c>
    </row>
    <row r="2" spans="1:3" x14ac:dyDescent="0.35">
      <c r="A2" s="2">
        <v>42005</v>
      </c>
      <c r="B2" s="5">
        <v>5.7</v>
      </c>
      <c r="C2" s="5">
        <v>11.38097</v>
      </c>
    </row>
    <row r="3" spans="1:3" x14ac:dyDescent="0.35">
      <c r="A3" s="2">
        <v>42036</v>
      </c>
      <c r="B3" s="5">
        <v>5.5</v>
      </c>
      <c r="C3" s="5">
        <v>11.322760000000001</v>
      </c>
    </row>
    <row r="4" spans="1:3" x14ac:dyDescent="0.35">
      <c r="A4" s="2">
        <v>42064</v>
      </c>
      <c r="B4" s="5">
        <v>5.4</v>
      </c>
      <c r="C4" s="5">
        <v>11.32063</v>
      </c>
    </row>
    <row r="5" spans="1:3" x14ac:dyDescent="0.35">
      <c r="A5" s="2">
        <v>42095</v>
      </c>
      <c r="B5" s="5">
        <v>5.4</v>
      </c>
      <c r="C5" s="5">
        <v>11.19181</v>
      </c>
    </row>
    <row r="6" spans="1:3" x14ac:dyDescent="0.35">
      <c r="A6" s="2">
        <v>42125</v>
      </c>
      <c r="B6" s="5">
        <v>5.6</v>
      </c>
      <c r="C6" s="5">
        <v>11.15202</v>
      </c>
    </row>
    <row r="7" spans="1:3" x14ac:dyDescent="0.35">
      <c r="A7" s="2">
        <v>42156</v>
      </c>
      <c r="B7" s="5">
        <v>5.3</v>
      </c>
      <c r="C7" s="5">
        <v>11.08076</v>
      </c>
    </row>
    <row r="8" spans="1:3" x14ac:dyDescent="0.35">
      <c r="A8" s="2">
        <v>42186</v>
      </c>
      <c r="B8" s="5">
        <v>5.2</v>
      </c>
      <c r="C8" s="5">
        <v>10.84722</v>
      </c>
    </row>
    <row r="9" spans="1:3" x14ac:dyDescent="0.35">
      <c r="A9" s="2">
        <v>42217</v>
      </c>
      <c r="B9" s="5">
        <v>5.0999999999999996</v>
      </c>
      <c r="C9" s="5">
        <v>10.76235</v>
      </c>
    </row>
    <row r="10" spans="1:3" x14ac:dyDescent="0.35">
      <c r="A10" s="2">
        <v>42248</v>
      </c>
      <c r="B10" s="5">
        <v>5</v>
      </c>
      <c r="C10" s="5">
        <v>10.712199999999999</v>
      </c>
    </row>
    <row r="11" spans="1:3" x14ac:dyDescent="0.35">
      <c r="A11" s="2">
        <v>42278</v>
      </c>
      <c r="B11" s="5">
        <v>5</v>
      </c>
      <c r="C11" s="5">
        <v>10.721730000000001</v>
      </c>
    </row>
    <row r="12" spans="1:3" x14ac:dyDescent="0.35">
      <c r="A12" s="2">
        <v>42309</v>
      </c>
      <c r="B12" s="5">
        <v>5.0999999999999996</v>
      </c>
      <c r="C12" s="5">
        <v>10.606249999999999</v>
      </c>
    </row>
    <row r="13" spans="1:3" x14ac:dyDescent="0.35">
      <c r="A13" s="2">
        <v>42339</v>
      </c>
      <c r="B13" s="5">
        <v>5</v>
      </c>
      <c r="C13" s="5">
        <v>10.57403</v>
      </c>
    </row>
    <row r="14" spans="1:3" x14ac:dyDescent="0.35">
      <c r="A14" s="2">
        <v>42370</v>
      </c>
      <c r="B14" s="5">
        <v>4.8</v>
      </c>
      <c r="C14" s="5">
        <v>10.47434</v>
      </c>
    </row>
    <row r="15" spans="1:3" x14ac:dyDescent="0.35">
      <c r="A15" s="2">
        <v>42401</v>
      </c>
      <c r="B15" s="5">
        <v>4.9000000000000004</v>
      </c>
      <c r="C15" s="5">
        <v>10.44824</v>
      </c>
    </row>
    <row r="16" spans="1:3" x14ac:dyDescent="0.35">
      <c r="A16" s="2">
        <v>42430</v>
      </c>
      <c r="B16" s="5">
        <v>5</v>
      </c>
      <c r="C16" s="5">
        <v>10.35741</v>
      </c>
    </row>
    <row r="17" spans="1:3" x14ac:dyDescent="0.35">
      <c r="A17" s="2">
        <v>42461</v>
      </c>
      <c r="B17" s="5">
        <v>5.0999999999999996</v>
      </c>
      <c r="C17" s="5">
        <v>10.323589999999999</v>
      </c>
    </row>
    <row r="18" spans="1:3" x14ac:dyDescent="0.35">
      <c r="A18" s="2">
        <v>42491</v>
      </c>
      <c r="B18" s="5">
        <v>4.8</v>
      </c>
      <c r="C18" s="5">
        <v>10.21846</v>
      </c>
    </row>
    <row r="19" spans="1:3" x14ac:dyDescent="0.35">
      <c r="A19" s="2">
        <v>42522</v>
      </c>
      <c r="B19" s="5">
        <v>4.9000000000000004</v>
      </c>
      <c r="C19" s="5">
        <v>10.17939</v>
      </c>
    </row>
    <row r="20" spans="1:3" x14ac:dyDescent="0.35">
      <c r="A20" s="2">
        <v>42552</v>
      </c>
      <c r="B20" s="5">
        <v>4.8</v>
      </c>
      <c r="C20" s="5">
        <v>10.035220000000001</v>
      </c>
    </row>
    <row r="21" spans="1:3" x14ac:dyDescent="0.35">
      <c r="A21" s="2">
        <v>42583</v>
      </c>
      <c r="B21" s="5">
        <v>4.9000000000000004</v>
      </c>
      <c r="C21" s="5">
        <v>9.9830229999999993</v>
      </c>
    </row>
    <row r="22" spans="1:3" x14ac:dyDescent="0.35">
      <c r="A22" s="2">
        <v>42614</v>
      </c>
      <c r="B22" s="5">
        <v>5</v>
      </c>
      <c r="C22" s="5">
        <v>9.9322970000000002</v>
      </c>
    </row>
    <row r="23" spans="1:3" x14ac:dyDescent="0.35">
      <c r="A23" s="2">
        <v>42644</v>
      </c>
      <c r="B23" s="5">
        <v>4.9000000000000004</v>
      </c>
      <c r="C23" s="5">
        <v>9.8488209999999992</v>
      </c>
    </row>
    <row r="24" spans="1:3" x14ac:dyDescent="0.35">
      <c r="A24" s="2">
        <v>42675</v>
      </c>
      <c r="B24" s="5">
        <v>4.7</v>
      </c>
      <c r="C24" s="5">
        <v>9.8752750000000002</v>
      </c>
    </row>
    <row r="25" spans="1:3" x14ac:dyDescent="0.35">
      <c r="A25" s="2">
        <v>42705</v>
      </c>
      <c r="B25" s="5">
        <v>4.7</v>
      </c>
      <c r="C25" s="5">
        <v>9.7496550000000006</v>
      </c>
    </row>
    <row r="26" spans="1:3" x14ac:dyDescent="0.35">
      <c r="A26" s="2">
        <v>42736</v>
      </c>
      <c r="B26" s="5">
        <v>4.7</v>
      </c>
      <c r="C26" s="5">
        <v>9.6467399999999994</v>
      </c>
    </row>
    <row r="27" spans="1:3" x14ac:dyDescent="0.35">
      <c r="A27" s="2">
        <v>42767</v>
      </c>
      <c r="B27" s="5">
        <v>4.5999999999999996</v>
      </c>
      <c r="C27" s="5">
        <v>9.5434629999999991</v>
      </c>
    </row>
    <row r="28" spans="1:3" x14ac:dyDescent="0.35">
      <c r="A28" s="2">
        <v>42795</v>
      </c>
      <c r="B28" s="5">
        <v>4.4000000000000004</v>
      </c>
      <c r="C28" s="5">
        <v>9.4786000000000001</v>
      </c>
    </row>
    <row r="29" spans="1:3" x14ac:dyDescent="0.35">
      <c r="A29" s="2">
        <v>42826</v>
      </c>
      <c r="B29" s="5">
        <v>4.4000000000000004</v>
      </c>
      <c r="C29" s="5">
        <v>9.3036180000000002</v>
      </c>
    </row>
    <row r="30" spans="1:3" x14ac:dyDescent="0.35">
      <c r="A30" s="2">
        <v>42856</v>
      </c>
      <c r="B30" s="5">
        <v>4.4000000000000004</v>
      </c>
      <c r="C30" s="5">
        <v>9.2768840000000008</v>
      </c>
    </row>
    <row r="31" spans="1:3" x14ac:dyDescent="0.35">
      <c r="A31" s="2">
        <v>42887</v>
      </c>
      <c r="B31" s="5">
        <v>4.3</v>
      </c>
      <c r="C31" s="5">
        <v>9.1198720000000009</v>
      </c>
    </row>
    <row r="32" spans="1:3" x14ac:dyDescent="0.35">
      <c r="A32" s="2">
        <v>42917</v>
      </c>
      <c r="B32" s="5">
        <v>4.3</v>
      </c>
      <c r="C32" s="5">
        <v>9.0944559999999992</v>
      </c>
    </row>
    <row r="33" spans="1:3" x14ac:dyDescent="0.35">
      <c r="A33" s="2">
        <v>42948</v>
      </c>
      <c r="B33" s="5">
        <v>4.4000000000000004</v>
      </c>
      <c r="C33" s="5">
        <v>9.0272070000000006</v>
      </c>
    </row>
    <row r="34" spans="1:3" x14ac:dyDescent="0.35">
      <c r="A34" s="2">
        <v>42979</v>
      </c>
      <c r="B34" s="5">
        <v>4.3</v>
      </c>
      <c r="C34" s="5">
        <v>8.9210809999999992</v>
      </c>
    </row>
    <row r="35" spans="1:3" x14ac:dyDescent="0.35">
      <c r="A35" s="2">
        <v>43009</v>
      </c>
      <c r="B35" s="5">
        <v>4.2</v>
      </c>
      <c r="C35" s="5">
        <v>8.8164449999999999</v>
      </c>
    </row>
    <row r="36" spans="1:3" x14ac:dyDescent="0.35">
      <c r="A36" s="2">
        <v>43040</v>
      </c>
      <c r="B36" s="5">
        <v>4.2</v>
      </c>
      <c r="C36" s="5">
        <v>8.7544459999999997</v>
      </c>
    </row>
    <row r="37" spans="1:3" x14ac:dyDescent="0.35">
      <c r="A37" s="2">
        <v>43070</v>
      </c>
      <c r="B37" s="5">
        <v>4.0999999999999996</v>
      </c>
      <c r="C37" s="5">
        <v>8.7172730000000005</v>
      </c>
    </row>
    <row r="38" spans="1:3" x14ac:dyDescent="0.35">
      <c r="A38" s="2">
        <v>43101</v>
      </c>
      <c r="B38" s="5">
        <v>4</v>
      </c>
      <c r="C38" s="5">
        <v>8.6918509999999998</v>
      </c>
    </row>
    <row r="39" spans="1:3" x14ac:dyDescent="0.35">
      <c r="A39" s="2">
        <v>43132</v>
      </c>
      <c r="B39" s="5">
        <v>4.0999999999999996</v>
      </c>
      <c r="C39" s="5">
        <v>8.6015169999999994</v>
      </c>
    </row>
    <row r="40" spans="1:3" x14ac:dyDescent="0.35">
      <c r="A40" s="2">
        <v>43160</v>
      </c>
      <c r="B40" s="5">
        <v>4</v>
      </c>
      <c r="C40" s="5">
        <v>8.5439220000000002</v>
      </c>
    </row>
    <row r="41" spans="1:3" x14ac:dyDescent="0.35">
      <c r="A41" s="2">
        <v>43191</v>
      </c>
      <c r="B41" s="5">
        <v>4</v>
      </c>
      <c r="C41" s="5">
        <v>8.4496830000000003</v>
      </c>
    </row>
    <row r="42" spans="1:3" x14ac:dyDescent="0.35">
      <c r="A42" s="2">
        <v>43221</v>
      </c>
      <c r="B42" s="5">
        <v>3.8</v>
      </c>
      <c r="C42" s="5">
        <v>8.3077129999999997</v>
      </c>
    </row>
    <row r="43" spans="1:3" x14ac:dyDescent="0.35">
      <c r="A43" s="2">
        <v>43252</v>
      </c>
      <c r="B43" s="5">
        <v>4</v>
      </c>
      <c r="C43" s="5">
        <v>8.2424569999999999</v>
      </c>
    </row>
    <row r="44" spans="1:3" x14ac:dyDescent="0.35">
      <c r="A44" s="2">
        <v>43282</v>
      </c>
      <c r="B44" s="5">
        <v>3.8</v>
      </c>
      <c r="C44" s="5">
        <v>8.1097719999999995</v>
      </c>
    </row>
    <row r="45" spans="1:3" x14ac:dyDescent="0.35">
      <c r="A45" s="2">
        <v>43313</v>
      </c>
      <c r="B45" s="5">
        <v>3.8</v>
      </c>
      <c r="C45" s="5">
        <v>8.0417439999999996</v>
      </c>
    </row>
    <row r="46" spans="1:3" x14ac:dyDescent="0.35">
      <c r="A46" s="2">
        <v>43344</v>
      </c>
      <c r="B46" s="5">
        <v>3.7</v>
      </c>
      <c r="C46" s="5">
        <v>8.015822</v>
      </c>
    </row>
    <row r="47" spans="1:3" x14ac:dyDescent="0.35">
      <c r="A47" s="2">
        <v>43374</v>
      </c>
      <c r="B47" s="5">
        <v>3.8</v>
      </c>
      <c r="C47" s="5">
        <v>8.0328210000000002</v>
      </c>
    </row>
    <row r="48" spans="1:3" x14ac:dyDescent="0.35">
      <c r="A48" s="2">
        <v>43405</v>
      </c>
      <c r="B48" s="5">
        <v>3.8</v>
      </c>
      <c r="C48" s="5">
        <v>7.9432980000000004</v>
      </c>
    </row>
    <row r="49" spans="1:3" x14ac:dyDescent="0.35">
      <c r="A49" s="2">
        <v>43435</v>
      </c>
      <c r="B49" s="5">
        <v>3.9</v>
      </c>
      <c r="C49" s="5">
        <v>7.8738429999999999</v>
      </c>
    </row>
    <row r="50" spans="1:3" x14ac:dyDescent="0.35">
      <c r="A50" s="2">
        <v>43466</v>
      </c>
      <c r="B50" s="5">
        <v>4</v>
      </c>
      <c r="C50" s="5">
        <v>7.8602299999999996</v>
      </c>
    </row>
    <row r="51" spans="1:3" x14ac:dyDescent="0.35">
      <c r="A51" s="2">
        <v>43497</v>
      </c>
      <c r="B51" s="5">
        <v>3.8</v>
      </c>
      <c r="C51" s="5">
        <v>7.8219370000000001</v>
      </c>
    </row>
    <row r="52" spans="1:3" x14ac:dyDescent="0.35">
      <c r="A52" s="2">
        <v>43525</v>
      </c>
      <c r="B52" s="5">
        <v>3.8</v>
      </c>
      <c r="C52" s="5">
        <v>7.7411320000000003</v>
      </c>
    </row>
    <row r="53" spans="1:3" x14ac:dyDescent="0.35">
      <c r="A53" s="2">
        <v>43556</v>
      </c>
      <c r="B53" s="5">
        <v>3.7</v>
      </c>
      <c r="C53" s="5">
        <v>7.72654</v>
      </c>
    </row>
    <row r="54" spans="1:3" x14ac:dyDescent="0.35">
      <c r="A54" s="2">
        <v>43586</v>
      </c>
      <c r="B54" s="5">
        <v>3.6</v>
      </c>
      <c r="C54" s="5">
        <v>7.6197590000000002</v>
      </c>
    </row>
    <row r="55" spans="1:3" x14ac:dyDescent="0.35">
      <c r="A55" s="2">
        <v>43617</v>
      </c>
      <c r="B55" s="5">
        <v>3.6</v>
      </c>
      <c r="C55" s="5">
        <v>7.530926</v>
      </c>
    </row>
    <row r="56" spans="1:3" x14ac:dyDescent="0.35">
      <c r="A56" s="2">
        <v>43647</v>
      </c>
      <c r="B56" s="5">
        <v>3.7</v>
      </c>
      <c r="C56" s="5">
        <v>7.5317239999999996</v>
      </c>
    </row>
    <row r="57" spans="1:3" x14ac:dyDescent="0.35">
      <c r="A57" s="2">
        <v>43678</v>
      </c>
      <c r="B57" s="5">
        <v>3.6</v>
      </c>
      <c r="C57" s="5">
        <v>7.4614690000000001</v>
      </c>
    </row>
    <row r="58" spans="1:3" x14ac:dyDescent="0.35">
      <c r="A58" s="2">
        <v>43709</v>
      </c>
      <c r="B58" s="5">
        <v>3.5</v>
      </c>
      <c r="C58" s="5">
        <v>7.4651120000000004</v>
      </c>
    </row>
    <row r="59" spans="1:3" x14ac:dyDescent="0.35">
      <c r="A59" s="2">
        <v>43739</v>
      </c>
      <c r="B59" s="5">
        <v>3.6</v>
      </c>
      <c r="C59" s="5">
        <v>7.4357420000000003</v>
      </c>
    </row>
    <row r="60" spans="1:3" x14ac:dyDescent="0.35">
      <c r="A60" s="2">
        <v>43770</v>
      </c>
      <c r="B60" s="5">
        <v>3.6</v>
      </c>
      <c r="C60" s="5">
        <v>7.481122</v>
      </c>
    </row>
    <row r="61" spans="1:3" x14ac:dyDescent="0.35">
      <c r="A61" s="2">
        <v>43800</v>
      </c>
      <c r="B61" s="5">
        <v>3.6</v>
      </c>
      <c r="C61" s="5">
        <v>7.4891949999999996</v>
      </c>
    </row>
    <row r="62" spans="1:3" x14ac:dyDescent="0.35">
      <c r="A62" s="2">
        <v>43831</v>
      </c>
      <c r="B62" s="5">
        <v>3.6</v>
      </c>
      <c r="C62" s="5">
        <v>7.491136</v>
      </c>
    </row>
    <row r="63" spans="1:3" x14ac:dyDescent="0.35">
      <c r="A63" s="2">
        <v>43862</v>
      </c>
      <c r="B63" s="5">
        <v>3.5</v>
      </c>
      <c r="C63" s="5">
        <v>7.3468770000000001</v>
      </c>
    </row>
    <row r="64" spans="1:3" x14ac:dyDescent="0.35">
      <c r="A64" s="2">
        <v>43891</v>
      </c>
      <c r="B64" s="5">
        <v>4.4000000000000004</v>
      </c>
      <c r="C64" s="5">
        <v>7.2026310000000002</v>
      </c>
    </row>
    <row r="65" spans="1:3" x14ac:dyDescent="0.35">
      <c r="A65" s="2">
        <v>43922</v>
      </c>
      <c r="B65" s="5">
        <v>14.8</v>
      </c>
      <c r="C65" s="5">
        <v>7.4034079999999998</v>
      </c>
    </row>
    <row r="66" spans="1:3" x14ac:dyDescent="0.35">
      <c r="A66" s="2">
        <v>43952</v>
      </c>
      <c r="B66" s="5">
        <v>13.2</v>
      </c>
      <c r="C66" s="5">
        <v>7.6494450000000001</v>
      </c>
    </row>
    <row r="67" spans="1:3" x14ac:dyDescent="0.35">
      <c r="A67" s="2">
        <v>43983</v>
      </c>
      <c r="B67" s="5">
        <v>11</v>
      </c>
      <c r="C67" s="5">
        <v>8.0985060000000004</v>
      </c>
    </row>
    <row r="68" spans="1:3" x14ac:dyDescent="0.35">
      <c r="A68" s="2">
        <v>44013</v>
      </c>
      <c r="B68" s="5">
        <v>10.199999999999999</v>
      </c>
      <c r="C68" s="5">
        <v>8.5055350000000001</v>
      </c>
    </row>
    <row r="69" spans="1:3" x14ac:dyDescent="0.35">
      <c r="A69" s="2">
        <v>44044</v>
      </c>
      <c r="B69" s="5">
        <v>8.4</v>
      </c>
      <c r="C69" s="5">
        <v>8.6386669999999999</v>
      </c>
    </row>
    <row r="70" spans="1:3" x14ac:dyDescent="0.35">
      <c r="A70" s="2">
        <v>44075</v>
      </c>
      <c r="B70" s="5">
        <v>7.8</v>
      </c>
      <c r="C70" s="5">
        <v>8.5817250000000005</v>
      </c>
    </row>
    <row r="71" spans="1:3" x14ac:dyDescent="0.35">
      <c r="A71" s="2">
        <v>44105</v>
      </c>
      <c r="B71" s="5">
        <v>6.9</v>
      </c>
      <c r="C71" s="5">
        <v>8.3909819999999993</v>
      </c>
    </row>
    <row r="72" spans="1:3" x14ac:dyDescent="0.35">
      <c r="A72" s="2">
        <v>44136</v>
      </c>
      <c r="B72" s="5">
        <v>6.7</v>
      </c>
      <c r="C72" s="5">
        <v>8.2104660000000003</v>
      </c>
    </row>
    <row r="73" spans="1:3" x14ac:dyDescent="0.35">
      <c r="A73" s="2">
        <v>44166</v>
      </c>
      <c r="B73" s="5">
        <v>6.7</v>
      </c>
      <c r="C73" s="5">
        <v>8.217079</v>
      </c>
    </row>
    <row r="74" spans="1:3" x14ac:dyDescent="0.35">
      <c r="A74" s="2">
        <v>44197</v>
      </c>
      <c r="B74" s="5">
        <v>6.4</v>
      </c>
      <c r="C74" s="5">
        <v>8.2676569999999998</v>
      </c>
    </row>
    <row r="75" spans="1:3" x14ac:dyDescent="0.35">
      <c r="A75" s="2">
        <v>44228</v>
      </c>
      <c r="B75" s="5">
        <v>6.2</v>
      </c>
      <c r="C75" s="5">
        <v>8.2659409999999998</v>
      </c>
    </row>
    <row r="76" spans="1:3" x14ac:dyDescent="0.35">
      <c r="A76" s="2">
        <v>44256</v>
      </c>
      <c r="B76" s="5">
        <v>6.1</v>
      </c>
      <c r="C76" s="5">
        <v>8.2262640000000005</v>
      </c>
    </row>
    <row r="77" spans="1:3" x14ac:dyDescent="0.35">
      <c r="A77" s="2">
        <v>44287</v>
      </c>
      <c r="B77" s="5">
        <v>6.1</v>
      </c>
      <c r="C77" s="5">
        <v>8.2768829999999998</v>
      </c>
    </row>
    <row r="78" spans="1:3" x14ac:dyDescent="0.35">
      <c r="A78" s="2">
        <v>44317</v>
      </c>
      <c r="B78" s="5">
        <v>5.8</v>
      </c>
      <c r="C78" s="5">
        <v>8.0947040000000001</v>
      </c>
    </row>
    <row r="79" spans="1:3" x14ac:dyDescent="0.35">
      <c r="A79" s="2">
        <v>44348</v>
      </c>
      <c r="B79" s="5">
        <v>5.9</v>
      </c>
      <c r="C79" s="5">
        <v>7.884398</v>
      </c>
    </row>
    <row r="80" spans="1:3" x14ac:dyDescent="0.35">
      <c r="A80" s="2">
        <v>44378</v>
      </c>
      <c r="B80" s="5">
        <v>5.4</v>
      </c>
      <c r="C80" s="5">
        <v>7.6850490000000002</v>
      </c>
    </row>
    <row r="81" spans="1:3" x14ac:dyDescent="0.35">
      <c r="A81" s="2">
        <v>44409</v>
      </c>
      <c r="B81" s="5">
        <v>5.0999999999999996</v>
      </c>
      <c r="C81" s="5">
        <v>7.5793340000000002</v>
      </c>
    </row>
    <row r="82" spans="1:3" x14ac:dyDescent="0.35">
      <c r="A82" s="2">
        <v>44440</v>
      </c>
      <c r="B82" s="5">
        <v>4.7</v>
      </c>
      <c r="C82" s="5">
        <v>7.4254819999999997</v>
      </c>
    </row>
    <row r="83" spans="1:3" x14ac:dyDescent="0.35">
      <c r="A83" s="2">
        <v>44470</v>
      </c>
      <c r="B83" s="5">
        <v>4.5</v>
      </c>
      <c r="C83" s="5">
        <v>7.2998969999999996</v>
      </c>
    </row>
    <row r="84" spans="1:3" x14ac:dyDescent="0.35">
      <c r="A84" s="2">
        <v>44501</v>
      </c>
      <c r="B84" s="5">
        <v>4.2</v>
      </c>
      <c r="C84" s="5">
        <v>7.1753530000000003</v>
      </c>
    </row>
    <row r="85" spans="1:3" x14ac:dyDescent="0.35">
      <c r="A85" s="2">
        <v>44531</v>
      </c>
      <c r="B85" s="5">
        <v>3.9</v>
      </c>
      <c r="C85" s="5">
        <v>7.0778129999999999</v>
      </c>
    </row>
    <row r="86" spans="1:3" x14ac:dyDescent="0.35">
      <c r="A86" s="2">
        <v>44562</v>
      </c>
      <c r="B86" s="5">
        <v>4</v>
      </c>
      <c r="C86" s="5">
        <v>6.9630179999999999</v>
      </c>
    </row>
    <row r="87" spans="1:3" x14ac:dyDescent="0.35">
      <c r="A87" s="2">
        <v>44593</v>
      </c>
      <c r="B87" s="5">
        <v>3.8</v>
      </c>
      <c r="C87" s="5">
        <v>6.8864400000000003</v>
      </c>
    </row>
    <row r="88" spans="1:3" x14ac:dyDescent="0.35">
      <c r="A88" s="2">
        <v>44621</v>
      </c>
      <c r="B88" s="5">
        <v>3.7</v>
      </c>
      <c r="C88" s="5">
        <v>6.8628080000000002</v>
      </c>
    </row>
    <row r="89" spans="1:3" x14ac:dyDescent="0.35">
      <c r="A89" s="2">
        <v>44652</v>
      </c>
      <c r="B89" s="5">
        <v>3.7</v>
      </c>
      <c r="C89" s="5">
        <v>6.808802</v>
      </c>
    </row>
    <row r="90" spans="1:3" x14ac:dyDescent="0.35">
      <c r="A90" s="2">
        <v>44682</v>
      </c>
      <c r="B90" s="5">
        <v>3.6</v>
      </c>
      <c r="C90" s="5">
        <v>6.7737189999999998</v>
      </c>
    </row>
    <row r="91" spans="1:3" x14ac:dyDescent="0.35">
      <c r="A91" s="2">
        <v>44713</v>
      </c>
      <c r="B91" s="5">
        <v>3.6</v>
      </c>
      <c r="C91" s="5">
        <v>6.7799449999999997</v>
      </c>
    </row>
    <row r="92" spans="1:3" x14ac:dyDescent="0.35">
      <c r="A92" s="2">
        <v>44743</v>
      </c>
      <c r="B92" s="5">
        <v>3.5</v>
      </c>
      <c r="C92" s="5">
        <v>6.721006</v>
      </c>
    </row>
    <row r="93" spans="1:3" x14ac:dyDescent="0.35">
      <c r="A93" s="2">
        <v>44774</v>
      </c>
      <c r="B93" s="5">
        <v>3.6</v>
      </c>
      <c r="C93" s="5">
        <v>6.759684</v>
      </c>
    </row>
    <row r="94" spans="1:3" x14ac:dyDescent="0.35">
      <c r="A94" s="2">
        <v>44805</v>
      </c>
      <c r="B94" s="5">
        <v>3.5</v>
      </c>
      <c r="C94" s="5">
        <v>6.7512889999999999</v>
      </c>
    </row>
    <row r="95" spans="1:3" x14ac:dyDescent="0.35">
      <c r="A95" s="2">
        <v>44835</v>
      </c>
      <c r="B95" s="5">
        <v>3.6</v>
      </c>
      <c r="C95" s="5">
        <v>6.7086360000000003</v>
      </c>
    </row>
    <row r="96" spans="1:3" x14ac:dyDescent="0.35">
      <c r="A96" s="2">
        <v>44866</v>
      </c>
      <c r="B96" s="5">
        <v>3.6</v>
      </c>
      <c r="C96" s="5">
        <v>6.7346570000000003</v>
      </c>
    </row>
    <row r="97" spans="1:3" x14ac:dyDescent="0.35">
      <c r="A97" s="2">
        <v>44896</v>
      </c>
      <c r="B97" s="5">
        <v>3.5</v>
      </c>
      <c r="C97" s="5">
        <v>6.75</v>
      </c>
    </row>
    <row r="98" spans="1:3" x14ac:dyDescent="0.35">
      <c r="A98" s="2">
        <v>44927</v>
      </c>
      <c r="B98" s="5">
        <v>3.5</v>
      </c>
      <c r="C98" s="5">
        <v>6.6891299999999996</v>
      </c>
    </row>
    <row r="99" spans="1:3" x14ac:dyDescent="0.35">
      <c r="A99" s="2">
        <v>44958</v>
      </c>
      <c r="B99" s="5">
        <v>3.6</v>
      </c>
      <c r="C99" s="5">
        <v>6.6288429999999998</v>
      </c>
    </row>
    <row r="100" spans="1:3" x14ac:dyDescent="0.35">
      <c r="A100" s="2">
        <v>44986</v>
      </c>
      <c r="B100" s="5">
        <v>3.5</v>
      </c>
      <c r="C100" s="5">
        <v>6.5798240000000003</v>
      </c>
    </row>
    <row r="101" spans="1:3" x14ac:dyDescent="0.35">
      <c r="A101" s="2">
        <v>45017</v>
      </c>
      <c r="B101" s="5">
        <v>3.4</v>
      </c>
      <c r="C101" s="5">
        <v>6.5421880000000003</v>
      </c>
    </row>
    <row r="102" spans="1:3" x14ac:dyDescent="0.35">
      <c r="A102" s="2">
        <v>45047</v>
      </c>
      <c r="B102" s="5">
        <v>3.6</v>
      </c>
      <c r="C102" s="5">
        <v>6.5137039999999997</v>
      </c>
    </row>
    <row r="103" spans="1:3" x14ac:dyDescent="0.35">
      <c r="A103" s="2">
        <v>45078</v>
      </c>
      <c r="B103" s="5">
        <v>3.6</v>
      </c>
      <c r="C103" s="5">
        <v>6.4790640000000002</v>
      </c>
    </row>
    <row r="104" spans="1:3" x14ac:dyDescent="0.35">
      <c r="A104" s="2">
        <v>45108</v>
      </c>
      <c r="B104" s="5">
        <v>3.5</v>
      </c>
      <c r="C104" s="5">
        <v>6.5917120000000002</v>
      </c>
    </row>
    <row r="105" spans="1:3" x14ac:dyDescent="0.35">
      <c r="A105" s="2">
        <v>45139</v>
      </c>
      <c r="B105" s="5">
        <v>3.7</v>
      </c>
      <c r="C105" s="5">
        <v>6.5708770000000003</v>
      </c>
    </row>
    <row r="106" spans="1:3" x14ac:dyDescent="0.35">
      <c r="A106" s="2">
        <v>45170</v>
      </c>
      <c r="B106" s="5">
        <v>3.8</v>
      </c>
      <c r="C106" s="5">
        <v>6.6185309999999999</v>
      </c>
    </row>
    <row r="107" spans="1:3" x14ac:dyDescent="0.35">
      <c r="A107" s="2">
        <v>45200</v>
      </c>
      <c r="B107" s="5">
        <v>3.9</v>
      </c>
      <c r="C107" s="5">
        <v>6.6359649999999997</v>
      </c>
    </row>
    <row r="108" spans="1:3" x14ac:dyDescent="0.35">
      <c r="A108" s="2">
        <v>45231</v>
      </c>
      <c r="B108" s="5">
        <v>3.7</v>
      </c>
      <c r="C108" s="5">
        <v>6.5693700000000002</v>
      </c>
    </row>
    <row r="109" spans="1:3" x14ac:dyDescent="0.35">
      <c r="A109" s="2">
        <v>45261</v>
      </c>
      <c r="B109" s="5">
        <v>3.8</v>
      </c>
      <c r="C109" s="5">
        <v>6.5278499999999999</v>
      </c>
    </row>
    <row r="110" spans="1:3" x14ac:dyDescent="0.35">
      <c r="A110" s="2">
        <v>45292</v>
      </c>
      <c r="B110" s="5">
        <v>3.7</v>
      </c>
      <c r="C110" s="5">
        <v>6.5499419999999997</v>
      </c>
    </row>
    <row r="111" spans="1:3" x14ac:dyDescent="0.35">
      <c r="A111" s="2">
        <v>45323</v>
      </c>
      <c r="B111" s="5">
        <v>3.9</v>
      </c>
      <c r="C111" s="5">
        <v>6.5462400000000001</v>
      </c>
    </row>
    <row r="112" spans="1:3" x14ac:dyDescent="0.35">
      <c r="A112" s="2">
        <v>45352</v>
      </c>
      <c r="B112" s="5">
        <v>3.9</v>
      </c>
      <c r="C112" s="5">
        <v>6.4600730000000004</v>
      </c>
    </row>
    <row r="113" spans="1:3" x14ac:dyDescent="0.35">
      <c r="A113" s="2">
        <v>45383</v>
      </c>
      <c r="B113" s="5">
        <v>3.9</v>
      </c>
      <c r="C113" s="5">
        <v>6.4299429999999997</v>
      </c>
    </row>
    <row r="114" spans="1:3" x14ac:dyDescent="0.35">
      <c r="A114" s="2">
        <v>45413</v>
      </c>
      <c r="B114" s="5">
        <v>4</v>
      </c>
      <c r="C114" s="5">
        <v>6.4066989999999997</v>
      </c>
    </row>
    <row r="115" spans="1:3" x14ac:dyDescent="0.35">
      <c r="A115" s="2">
        <v>45444</v>
      </c>
      <c r="B115" s="5">
        <v>4.0999999999999996</v>
      </c>
      <c r="C115" s="5">
        <v>6.399597</v>
      </c>
    </row>
    <row r="116" spans="1:3" x14ac:dyDescent="0.35">
      <c r="A116" s="2">
        <v>45474</v>
      </c>
      <c r="B116" s="5">
        <v>4.2</v>
      </c>
      <c r="C116" s="5">
        <v>6.3969300000000002</v>
      </c>
    </row>
    <row r="117" spans="1:3" x14ac:dyDescent="0.35">
      <c r="A117" s="2">
        <v>45505</v>
      </c>
      <c r="B117" s="5">
        <v>4.2</v>
      </c>
      <c r="C117" s="5">
        <v>6.3311760000000001</v>
      </c>
    </row>
    <row r="118" spans="1:3" x14ac:dyDescent="0.35">
      <c r="A118" s="2">
        <v>45536</v>
      </c>
      <c r="B118" s="5">
        <v>4.0999999999999996</v>
      </c>
      <c r="C118" s="5">
        <v>6.3200519999999996</v>
      </c>
    </row>
    <row r="119" spans="1:3" x14ac:dyDescent="0.35">
      <c r="A119" s="2">
        <v>45566</v>
      </c>
      <c r="B119" s="5">
        <v>4.0999999999999996</v>
      </c>
      <c r="C119" s="5">
        <v>6.2607850000000003</v>
      </c>
    </row>
    <row r="120" spans="1:3" x14ac:dyDescent="0.35">
      <c r="A120" s="2">
        <v>45597</v>
      </c>
      <c r="B120" s="5">
        <v>4.2</v>
      </c>
      <c r="C120" s="5">
        <v>6.2188949999999998</v>
      </c>
    </row>
    <row r="121" spans="1:3" x14ac:dyDescent="0.35">
      <c r="A121" s="2">
        <v>45627</v>
      </c>
      <c r="B121" s="5">
        <v>4.0999999999999996</v>
      </c>
      <c r="C121" s="5">
        <v>6.264913</v>
      </c>
    </row>
    <row r="122" spans="1:3" x14ac:dyDescent="0.35">
      <c r="A122" s="2">
        <v>45658</v>
      </c>
      <c r="B122" s="5">
        <v>4</v>
      </c>
      <c r="C122" s="5">
        <v>6.3141879999999997</v>
      </c>
    </row>
    <row r="123" spans="1:3" x14ac:dyDescent="0.35">
      <c r="A123" s="2">
        <v>45689</v>
      </c>
      <c r="B123" s="5">
        <v>4.0999999999999996</v>
      </c>
      <c r="C123" s="5">
        <v>6.3108019999999998</v>
      </c>
    </row>
    <row r="124" spans="1:3" x14ac:dyDescent="0.35">
      <c r="A124" s="2">
        <v>45717</v>
      </c>
      <c r="B124" s="5">
        <v>4.2</v>
      </c>
      <c r="C124" s="5">
        <v>6.3861920000000003</v>
      </c>
    </row>
    <row r="125" spans="1:3" x14ac:dyDescent="0.35">
      <c r="A125" s="2">
        <v>45748</v>
      </c>
      <c r="B125" s="5">
        <v>4.2</v>
      </c>
      <c r="C125" s="5">
        <v>6.3183579999999999</v>
      </c>
    </row>
    <row r="126" spans="1:3" x14ac:dyDescent="0.35">
      <c r="A126" s="2">
        <v>45778</v>
      </c>
      <c r="B126" s="5">
        <v>4.2</v>
      </c>
      <c r="C126" s="5">
        <v>6.3660019999999999</v>
      </c>
    </row>
    <row r="127" spans="1:3" x14ac:dyDescent="0.35">
      <c r="A127" s="2">
        <v>45809</v>
      </c>
      <c r="B127" s="5">
        <v>4.0999999999999996</v>
      </c>
      <c r="C127" s="5">
        <v>6.3364500000000001</v>
      </c>
    </row>
    <row r="128" spans="1:3" x14ac:dyDescent="0.35">
      <c r="A128" s="2">
        <v>45839</v>
      </c>
      <c r="B128" s="5">
        <v>4.2</v>
      </c>
      <c r="C128" s="5">
        <v>6.2488580000000002</v>
      </c>
    </row>
    <row r="129" spans="1:3" x14ac:dyDescent="0.35">
      <c r="A129" s="2">
        <v>45870</v>
      </c>
      <c r="B129" s="5">
        <v>4.3</v>
      </c>
      <c r="C129" s="5">
        <v>6.2528800000000002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C543-7F5C-4411-8A3E-C3C00D970736}">
  <dimension ref="A1:E129"/>
  <sheetViews>
    <sheetView workbookViewId="0">
      <selection activeCell="P21" sqref="P21"/>
    </sheetView>
  </sheetViews>
  <sheetFormatPr defaultRowHeight="14.5" x14ac:dyDescent="0.35"/>
  <cols>
    <col min="1" max="1" width="14.81640625" style="1" bestFit="1" customWidth="1"/>
    <col min="2" max="2" width="30" style="4" customWidth="1"/>
    <col min="3" max="3" width="30" style="4" customWidth="1"/>
    <col min="4" max="4" width="13" style="1" customWidth="1"/>
    <col min="5" max="5" width="13" style="1" customWidth="1"/>
  </cols>
  <sheetData>
    <row r="1" spans="1:5" x14ac:dyDescent="0.35">
      <c r="A1" s="1" t="s">
        <v>0</v>
      </c>
      <c r="B1" s="4" t="s">
        <v>51</v>
      </c>
      <c r="C1" s="4" t="s">
        <v>52</v>
      </c>
      <c r="D1" s="1" t="s">
        <v>53</v>
      </c>
      <c r="E1" s="1" t="s">
        <v>54</v>
      </c>
    </row>
    <row r="2" spans="1:5" x14ac:dyDescent="0.35">
      <c r="A2" s="2">
        <v>42005</v>
      </c>
      <c r="B2" s="4">
        <f>Policy_Rates!B2</f>
        <v>7.0000000000000007E-2</v>
      </c>
      <c r="C2" s="4">
        <f>Policy_Rates!C2</f>
        <v>0.25</v>
      </c>
      <c r="D2" s="3">
        <v>-0.22993</v>
      </c>
      <c r="E2" s="3">
        <v>-0.60704000000000002</v>
      </c>
    </row>
    <row r="3" spans="1:5" x14ac:dyDescent="0.35">
      <c r="A3" s="2">
        <v>42036</v>
      </c>
      <c r="B3" s="4">
        <f>Policy_Rates!B3</f>
        <v>7.0000000000000007E-2</v>
      </c>
      <c r="C3" s="4">
        <f>Policy_Rates!C3</f>
        <v>0.25</v>
      </c>
      <c r="D3" s="3">
        <v>-8.7029999999999996E-2</v>
      </c>
      <c r="E3" s="3">
        <v>-0.29252</v>
      </c>
    </row>
    <row r="4" spans="1:5" x14ac:dyDescent="0.35">
      <c r="A4" s="2">
        <v>42064</v>
      </c>
      <c r="B4" s="4">
        <f>Policy_Rates!B4</f>
        <v>0.08</v>
      </c>
      <c r="C4" s="4">
        <f>Policy_Rates!C4</f>
        <v>0.25</v>
      </c>
      <c r="D4" s="3">
        <v>-2.2030000000000001E-2</v>
      </c>
      <c r="E4" s="3">
        <v>-6.9949999999999998E-2</v>
      </c>
    </row>
    <row r="5" spans="1:5" x14ac:dyDescent="0.35">
      <c r="A5" s="2">
        <v>42095</v>
      </c>
      <c r="B5" s="4">
        <f>Policy_Rates!B5</f>
        <v>0.09</v>
      </c>
      <c r="C5" s="4">
        <f>Policy_Rates!C5</f>
        <v>0.25</v>
      </c>
      <c r="D5" s="3">
        <v>-0.10403</v>
      </c>
      <c r="E5" s="3">
        <v>0.20954</v>
      </c>
    </row>
    <row r="6" spans="1:5" x14ac:dyDescent="0.35">
      <c r="A6" s="2">
        <v>42125</v>
      </c>
      <c r="B6" s="4">
        <f>Policy_Rates!B6</f>
        <v>0.09</v>
      </c>
      <c r="C6" s="4">
        <f>Policy_Rates!C6</f>
        <v>0.25</v>
      </c>
      <c r="D6" s="3">
        <v>3.5029999999999999E-2</v>
      </c>
      <c r="E6" s="3">
        <v>0.58928999999999998</v>
      </c>
    </row>
    <row r="7" spans="1:5" x14ac:dyDescent="0.35">
      <c r="A7" s="2">
        <v>42156</v>
      </c>
      <c r="B7" s="4">
        <f>Policy_Rates!B7</f>
        <v>0.1</v>
      </c>
      <c r="C7" s="4">
        <f>Policy_Rates!C7</f>
        <v>0.15</v>
      </c>
      <c r="D7" s="3">
        <v>0.17957000000000001</v>
      </c>
      <c r="E7" s="3">
        <v>0.48887999999999998</v>
      </c>
    </row>
    <row r="8" spans="1:5" x14ac:dyDescent="0.35">
      <c r="A8" s="2">
        <v>42186</v>
      </c>
      <c r="B8" s="4">
        <f>Policy_Rates!B8</f>
        <v>0.09</v>
      </c>
      <c r="C8" s="4">
        <f>Policy_Rates!C8</f>
        <v>0.15</v>
      </c>
      <c r="D8" s="3">
        <v>0.22569</v>
      </c>
      <c r="E8" s="3">
        <v>0.54227999999999998</v>
      </c>
    </row>
    <row r="9" spans="1:5" x14ac:dyDescent="0.35">
      <c r="A9" s="2">
        <v>42217</v>
      </c>
      <c r="B9" s="4">
        <f>Policy_Rates!B9</f>
        <v>0.09</v>
      </c>
      <c r="C9" s="4">
        <f>Policy_Rates!C9</f>
        <v>0.15</v>
      </c>
      <c r="D9" s="3">
        <v>0.24129999999999999</v>
      </c>
      <c r="E9" s="3">
        <v>0.43134</v>
      </c>
    </row>
    <row r="10" spans="1:5" x14ac:dyDescent="0.35">
      <c r="A10" s="2">
        <v>42248</v>
      </c>
      <c r="B10" s="4">
        <f>Policy_Rates!B10</f>
        <v>0.09</v>
      </c>
      <c r="C10" s="4">
        <f>Policy_Rates!C10</f>
        <v>0.05</v>
      </c>
      <c r="D10" s="3">
        <v>8.8400000000000006E-3</v>
      </c>
      <c r="E10" s="3">
        <v>0.18975</v>
      </c>
    </row>
    <row r="11" spans="1:5" x14ac:dyDescent="0.35">
      <c r="A11" s="2">
        <v>42278</v>
      </c>
      <c r="B11" s="4">
        <f>Policy_Rates!B11</f>
        <v>0.09</v>
      </c>
      <c r="C11" s="4">
        <f>Policy_Rates!C11</f>
        <v>0.05</v>
      </c>
      <c r="D11" s="3">
        <v>0.12762000000000001</v>
      </c>
      <c r="E11" s="3">
        <v>0.38977000000000001</v>
      </c>
    </row>
    <row r="12" spans="1:5" x14ac:dyDescent="0.35">
      <c r="A12" s="2">
        <v>42309</v>
      </c>
      <c r="B12" s="4">
        <f>Policy_Rates!B12</f>
        <v>0.09</v>
      </c>
      <c r="C12" s="4">
        <f>Policy_Rates!C12</f>
        <v>0.05</v>
      </c>
      <c r="D12" s="3">
        <v>0.43631999999999999</v>
      </c>
      <c r="E12" s="3">
        <v>0.13016</v>
      </c>
    </row>
    <row r="13" spans="1:5" x14ac:dyDescent="0.35">
      <c r="A13" s="2">
        <v>42339</v>
      </c>
      <c r="B13" s="4">
        <f>Policy_Rates!B13</f>
        <v>0.12</v>
      </c>
      <c r="C13" s="4">
        <f>Policy_Rates!C13</f>
        <v>0.05</v>
      </c>
      <c r="D13" s="3">
        <v>0.63871999999999995</v>
      </c>
      <c r="E13" s="3">
        <v>0.25054999999999999</v>
      </c>
    </row>
    <row r="14" spans="1:5" x14ac:dyDescent="0.35">
      <c r="A14" s="2">
        <v>42370</v>
      </c>
      <c r="B14" s="4">
        <f>Policy_Rates!B14</f>
        <v>0.11</v>
      </c>
      <c r="C14" s="4">
        <f>Policy_Rates!C14</f>
        <v>0.05</v>
      </c>
      <c r="D14" s="3">
        <v>1.2375</v>
      </c>
      <c r="E14" s="3">
        <v>0.32573000000000002</v>
      </c>
    </row>
    <row r="15" spans="1:5" x14ac:dyDescent="0.35">
      <c r="A15" s="2">
        <v>42401</v>
      </c>
      <c r="B15" s="4">
        <f>Policy_Rates!B15</f>
        <v>0.11</v>
      </c>
      <c r="C15" s="4">
        <f>Policy_Rates!C15</f>
        <v>0.05</v>
      </c>
      <c r="D15" s="3">
        <v>0.84728000000000003</v>
      </c>
      <c r="E15" s="3">
        <v>-0.13150999999999999</v>
      </c>
    </row>
    <row r="16" spans="1:5" x14ac:dyDescent="0.35">
      <c r="A16" s="2">
        <v>42430</v>
      </c>
      <c r="B16" s="4">
        <f>Policy_Rates!B16</f>
        <v>0.11</v>
      </c>
      <c r="C16" s="4">
        <f>Policy_Rates!C16</f>
        <v>0.05</v>
      </c>
      <c r="D16" s="3">
        <v>0.89161999999999997</v>
      </c>
      <c r="E16" s="3">
        <v>-0.05</v>
      </c>
    </row>
    <row r="17" spans="1:5" x14ac:dyDescent="0.35">
      <c r="A17" s="2">
        <v>42461</v>
      </c>
      <c r="B17" s="4">
        <f>Policy_Rates!B17</f>
        <v>0.12</v>
      </c>
      <c r="C17" s="4">
        <f>Policy_Rates!C17</f>
        <v>0.05</v>
      </c>
      <c r="D17" s="3">
        <v>1.1726300000000001</v>
      </c>
      <c r="E17" s="3">
        <v>-0.25889000000000001</v>
      </c>
    </row>
    <row r="18" spans="1:5" x14ac:dyDescent="0.35">
      <c r="A18" s="2">
        <v>42491</v>
      </c>
      <c r="B18" s="4">
        <f>Policy_Rates!B18</f>
        <v>0.12</v>
      </c>
      <c r="C18" s="4">
        <f>Policy_Rates!C18</f>
        <v>0.05</v>
      </c>
      <c r="D18" s="3">
        <v>1.0784800000000001</v>
      </c>
      <c r="E18" s="3">
        <v>-0.12908</v>
      </c>
    </row>
    <row r="19" spans="1:5" x14ac:dyDescent="0.35">
      <c r="A19" s="2">
        <v>42522</v>
      </c>
      <c r="B19" s="4">
        <f>Policy_Rates!B19</f>
        <v>0.13</v>
      </c>
      <c r="C19" s="4">
        <f>Policy_Rates!C19</f>
        <v>0.05</v>
      </c>
      <c r="D19" s="3">
        <v>1.0792900000000001</v>
      </c>
      <c r="E19" s="3">
        <v>3.9710000000000002E-2</v>
      </c>
    </row>
    <row r="20" spans="1:5" x14ac:dyDescent="0.35">
      <c r="A20" s="2">
        <v>42552</v>
      </c>
      <c r="B20" s="4">
        <f>Policy_Rates!B20</f>
        <v>0.13</v>
      </c>
      <c r="C20" s="4">
        <f>Policy_Rates!C20</f>
        <v>0.05</v>
      </c>
      <c r="D20" s="3">
        <v>0.86836000000000002</v>
      </c>
      <c r="E20" s="3">
        <v>0.15981000000000001</v>
      </c>
    </row>
    <row r="21" spans="1:5" x14ac:dyDescent="0.35">
      <c r="A21" s="2">
        <v>42583</v>
      </c>
      <c r="B21" s="4">
        <f>Policy_Rates!B21</f>
        <v>0.14000000000000001</v>
      </c>
      <c r="C21" s="4">
        <f>Policy_Rates!C21</f>
        <v>0.05</v>
      </c>
      <c r="D21" s="3">
        <v>1.05532</v>
      </c>
      <c r="E21" s="3">
        <v>0.21973999999999999</v>
      </c>
    </row>
    <row r="22" spans="1:5" x14ac:dyDescent="0.35">
      <c r="A22" s="2">
        <v>42614</v>
      </c>
      <c r="B22" s="4">
        <f>Policy_Rates!B22</f>
        <v>0.14000000000000001</v>
      </c>
      <c r="C22" s="4">
        <f>Policy_Rates!C22</f>
        <v>0.05</v>
      </c>
      <c r="D22" s="3">
        <v>1.54864</v>
      </c>
      <c r="E22" s="3">
        <v>0.38875999999999999</v>
      </c>
    </row>
    <row r="23" spans="1:5" x14ac:dyDescent="0.35">
      <c r="A23" s="2">
        <v>42644</v>
      </c>
      <c r="B23" s="4">
        <f>Policy_Rates!B23</f>
        <v>0.12</v>
      </c>
      <c r="C23" s="4">
        <f>Policy_Rates!C23</f>
        <v>0.05</v>
      </c>
      <c r="D23" s="3">
        <v>1.6859200000000001</v>
      </c>
      <c r="E23" s="3">
        <v>0.49775999999999998</v>
      </c>
    </row>
    <row r="24" spans="1:5" x14ac:dyDescent="0.35">
      <c r="A24" s="2">
        <v>42675</v>
      </c>
      <c r="B24" s="4">
        <f>Policy_Rates!B24</f>
        <v>0.12</v>
      </c>
      <c r="C24" s="4">
        <f>Policy_Rates!C24</f>
        <v>0.05</v>
      </c>
      <c r="D24" s="3">
        <v>1.6843300000000001</v>
      </c>
      <c r="E24" s="3">
        <v>0.57994000000000001</v>
      </c>
    </row>
    <row r="25" spans="1:5" x14ac:dyDescent="0.35">
      <c r="A25" s="2">
        <v>42705</v>
      </c>
      <c r="B25" s="4">
        <f>Policy_Rates!B25</f>
        <v>0.24</v>
      </c>
      <c r="C25" s="4">
        <f>Policy_Rates!C25</f>
        <v>0.05</v>
      </c>
      <c r="D25" s="3">
        <v>2.0508000000000002</v>
      </c>
      <c r="E25" s="3">
        <v>1.0896699999999999</v>
      </c>
    </row>
    <row r="26" spans="1:5" x14ac:dyDescent="0.35">
      <c r="A26" s="2">
        <v>42736</v>
      </c>
      <c r="B26" s="4">
        <f>Policy_Rates!B26</f>
        <v>0.34</v>
      </c>
      <c r="C26" s="4">
        <f>Policy_Rates!C26</f>
        <v>0.05</v>
      </c>
      <c r="D26" s="3">
        <v>2.5103900000000001</v>
      </c>
      <c r="E26" s="3">
        <v>1.7248399999999999</v>
      </c>
    </row>
    <row r="27" spans="1:5" x14ac:dyDescent="0.35">
      <c r="A27" s="2">
        <v>42767</v>
      </c>
      <c r="B27" s="4">
        <f>Policy_Rates!B27</f>
        <v>0.38</v>
      </c>
      <c r="C27" s="4">
        <f>Policy_Rates!C27</f>
        <v>0.05</v>
      </c>
      <c r="D27" s="3">
        <v>2.8103600000000002</v>
      </c>
      <c r="E27" s="3">
        <v>1.95502</v>
      </c>
    </row>
    <row r="28" spans="1:5" x14ac:dyDescent="0.35">
      <c r="A28" s="2">
        <v>42795</v>
      </c>
      <c r="B28" s="4">
        <f>Policy_Rates!B28</f>
        <v>0.36</v>
      </c>
      <c r="C28" s="4">
        <f>Policy_Rates!C28</f>
        <v>0</v>
      </c>
      <c r="D28" s="3">
        <v>2.4411999999999998</v>
      </c>
      <c r="E28" s="3">
        <v>1.53077</v>
      </c>
    </row>
    <row r="29" spans="1:5" x14ac:dyDescent="0.35">
      <c r="A29" s="2">
        <v>42826</v>
      </c>
      <c r="B29" s="4">
        <f>Policy_Rates!B29</f>
        <v>0.37</v>
      </c>
      <c r="C29" s="4">
        <f>Policy_Rates!C29</f>
        <v>0</v>
      </c>
      <c r="D29" s="3">
        <v>2.1762199999999998</v>
      </c>
      <c r="E29" s="3">
        <v>1.88679</v>
      </c>
    </row>
    <row r="30" spans="1:5" x14ac:dyDescent="0.35">
      <c r="A30" s="2">
        <v>42856</v>
      </c>
      <c r="B30" s="4">
        <f>Policy_Rates!B30</f>
        <v>0.37</v>
      </c>
      <c r="C30" s="4">
        <f>Policy_Rates!C30</f>
        <v>0</v>
      </c>
      <c r="D30" s="3">
        <v>1.8563400000000001</v>
      </c>
      <c r="E30" s="3">
        <v>1.38198</v>
      </c>
    </row>
    <row r="31" spans="1:5" x14ac:dyDescent="0.35">
      <c r="A31" s="2">
        <v>42887</v>
      </c>
      <c r="B31" s="4">
        <f>Policy_Rates!B31</f>
        <v>0.38</v>
      </c>
      <c r="C31" s="4">
        <f>Policy_Rates!C31</f>
        <v>0</v>
      </c>
      <c r="D31" s="3">
        <v>1.6405700000000001</v>
      </c>
      <c r="E31" s="3">
        <v>1.3001199999999999</v>
      </c>
    </row>
    <row r="32" spans="1:5" x14ac:dyDescent="0.35">
      <c r="A32" s="2">
        <v>42917</v>
      </c>
      <c r="B32" s="4">
        <f>Policy_Rates!B32</f>
        <v>0.39</v>
      </c>
      <c r="C32" s="4">
        <f>Policy_Rates!C32</f>
        <v>0</v>
      </c>
      <c r="D32" s="3">
        <v>1.7251099999999999</v>
      </c>
      <c r="E32" s="3">
        <v>1.33626</v>
      </c>
    </row>
    <row r="33" spans="1:5" x14ac:dyDescent="0.35">
      <c r="A33" s="2">
        <v>42948</v>
      </c>
      <c r="B33" s="4">
        <f>Policy_Rates!B33</f>
        <v>0.4</v>
      </c>
      <c r="C33" s="4">
        <f>Policy_Rates!C33</f>
        <v>0</v>
      </c>
      <c r="D33" s="3">
        <v>1.9281200000000001</v>
      </c>
      <c r="E33" s="3">
        <v>1.53478</v>
      </c>
    </row>
    <row r="34" spans="1:5" x14ac:dyDescent="0.35">
      <c r="A34" s="2">
        <v>42979</v>
      </c>
      <c r="B34" s="4">
        <f>Policy_Rates!B34</f>
        <v>0.4</v>
      </c>
      <c r="C34" s="4">
        <f>Policy_Rates!C34</f>
        <v>0</v>
      </c>
      <c r="D34" s="3">
        <v>2.1805699999999999</v>
      </c>
      <c r="E34" s="3">
        <v>1.5688599999999999</v>
      </c>
    </row>
    <row r="35" spans="1:5" x14ac:dyDescent="0.35">
      <c r="A35" s="2">
        <v>43009</v>
      </c>
      <c r="B35" s="4">
        <f>Policy_Rates!B35</f>
        <v>0.4</v>
      </c>
      <c r="C35" s="4">
        <f>Policy_Rates!C35</f>
        <v>0</v>
      </c>
      <c r="D35" s="3">
        <v>2.0207600000000001</v>
      </c>
      <c r="E35" s="3">
        <v>1.3769199999999999</v>
      </c>
    </row>
    <row r="36" spans="1:5" x14ac:dyDescent="0.35">
      <c r="A36" s="2">
        <v>43040</v>
      </c>
      <c r="B36" s="4">
        <f>Policy_Rates!B36</f>
        <v>0.41</v>
      </c>
      <c r="C36" s="4">
        <f>Policy_Rates!C36</f>
        <v>0</v>
      </c>
      <c r="D36" s="3">
        <v>2.1724899999999998</v>
      </c>
      <c r="E36" s="3">
        <v>1.5309699999999999</v>
      </c>
    </row>
    <row r="37" spans="1:5" x14ac:dyDescent="0.35">
      <c r="A37" s="2">
        <v>43070</v>
      </c>
      <c r="B37" s="4">
        <f>Policy_Rates!B37</f>
        <v>0.54</v>
      </c>
      <c r="C37" s="4">
        <f>Policy_Rates!C37</f>
        <v>0</v>
      </c>
      <c r="D37" s="3">
        <v>2.1299299999999999</v>
      </c>
      <c r="E37" s="3">
        <v>1.34494</v>
      </c>
    </row>
    <row r="38" spans="1:5" x14ac:dyDescent="0.35">
      <c r="A38" s="2">
        <v>43101</v>
      </c>
      <c r="B38" s="4">
        <f>Policy_Rates!B38</f>
        <v>0.65</v>
      </c>
      <c r="C38" s="4">
        <f>Policy_Rates!C38</f>
        <v>0</v>
      </c>
      <c r="D38" s="3">
        <v>2.1513200000000001</v>
      </c>
      <c r="E38" s="3">
        <v>1.2866500000000001</v>
      </c>
    </row>
    <row r="39" spans="1:5" x14ac:dyDescent="0.35">
      <c r="A39" s="2">
        <v>43132</v>
      </c>
      <c r="B39" s="4">
        <f>Policy_Rates!B39</f>
        <v>0.66</v>
      </c>
      <c r="C39" s="4">
        <f>Policy_Rates!C39</f>
        <v>0</v>
      </c>
      <c r="D39" s="3">
        <v>2.2634699999999999</v>
      </c>
      <c r="E39" s="3">
        <v>1.11277</v>
      </c>
    </row>
    <row r="40" spans="1:5" x14ac:dyDescent="0.35">
      <c r="A40" s="2">
        <v>43160</v>
      </c>
      <c r="B40" s="4">
        <f>Policy_Rates!B40</f>
        <v>0.79</v>
      </c>
      <c r="C40" s="4">
        <f>Policy_Rates!C40</f>
        <v>0</v>
      </c>
      <c r="D40" s="3">
        <v>2.3309500000000001</v>
      </c>
      <c r="E40" s="3">
        <v>1.3992899999999999</v>
      </c>
    </row>
    <row r="41" spans="1:5" x14ac:dyDescent="0.35">
      <c r="A41" s="2">
        <v>43191</v>
      </c>
      <c r="B41" s="4">
        <f>Policy_Rates!B41</f>
        <v>0.9</v>
      </c>
      <c r="C41" s="4">
        <f>Policy_Rates!C41</f>
        <v>0</v>
      </c>
      <c r="D41" s="3">
        <v>2.4710000000000001</v>
      </c>
      <c r="E41" s="3">
        <v>1.2345699999999999</v>
      </c>
    </row>
    <row r="42" spans="1:5" x14ac:dyDescent="0.35">
      <c r="A42" s="2">
        <v>43221</v>
      </c>
      <c r="B42" s="4">
        <f>Policy_Rates!B42</f>
        <v>0.91</v>
      </c>
      <c r="C42" s="4">
        <f>Policy_Rates!C42</f>
        <v>0</v>
      </c>
      <c r="D42" s="3">
        <v>2.7819199999999999</v>
      </c>
      <c r="E42" s="3">
        <v>1.9515499999999999</v>
      </c>
    </row>
    <row r="43" spans="1:5" x14ac:dyDescent="0.35">
      <c r="A43" s="2">
        <v>43252</v>
      </c>
      <c r="B43" s="4">
        <f>Policy_Rates!B43</f>
        <v>1.04</v>
      </c>
      <c r="C43" s="4">
        <f>Policy_Rates!C43</f>
        <v>0</v>
      </c>
      <c r="D43" s="3">
        <v>2.80755</v>
      </c>
      <c r="E43" s="3">
        <v>1.9692400000000001</v>
      </c>
    </row>
    <row r="44" spans="1:5" x14ac:dyDescent="0.35">
      <c r="A44" s="2">
        <v>43282</v>
      </c>
      <c r="B44" s="4">
        <f>Policy_Rates!B44</f>
        <v>1.1499999999999999</v>
      </c>
      <c r="C44" s="4">
        <f>Policy_Rates!C44</f>
        <v>0</v>
      </c>
      <c r="D44" s="3">
        <v>2.85412</v>
      </c>
      <c r="E44" s="3">
        <v>2.1944499999999998</v>
      </c>
    </row>
    <row r="45" spans="1:5" x14ac:dyDescent="0.35">
      <c r="A45" s="2">
        <v>43313</v>
      </c>
      <c r="B45" s="4">
        <f>Policy_Rates!B45</f>
        <v>1.1599999999999999</v>
      </c>
      <c r="C45" s="4">
        <f>Policy_Rates!C45</f>
        <v>0</v>
      </c>
      <c r="D45" s="3">
        <v>2.6429200000000002</v>
      </c>
      <c r="E45" s="3">
        <v>2.0808800000000001</v>
      </c>
    </row>
    <row r="46" spans="1:5" x14ac:dyDescent="0.35">
      <c r="A46" s="2">
        <v>43344</v>
      </c>
      <c r="B46" s="4">
        <f>Policy_Rates!B46</f>
        <v>1.1499999999999999</v>
      </c>
      <c r="C46" s="4">
        <f>Policy_Rates!C46</f>
        <v>0</v>
      </c>
      <c r="D46" s="3">
        <v>2.3320599999999998</v>
      </c>
      <c r="E46" s="3">
        <v>2.07254</v>
      </c>
    </row>
    <row r="47" spans="1:5" x14ac:dyDescent="0.35">
      <c r="A47" s="2">
        <v>43374</v>
      </c>
      <c r="B47" s="4">
        <f>Policy_Rates!B47</f>
        <v>1.1499999999999999</v>
      </c>
      <c r="C47" s="4">
        <f>Policy_Rates!C47</f>
        <v>0</v>
      </c>
      <c r="D47" s="3">
        <v>2.4920300000000002</v>
      </c>
      <c r="E47" s="3">
        <v>2.2767200000000001</v>
      </c>
    </row>
    <row r="48" spans="1:5" x14ac:dyDescent="0.35">
      <c r="A48" s="2">
        <v>43405</v>
      </c>
      <c r="B48" s="4">
        <f>Policy_Rates!B48</f>
        <v>1.1599999999999999</v>
      </c>
      <c r="C48" s="4">
        <f>Policy_Rates!C48</f>
        <v>0</v>
      </c>
      <c r="D48" s="3">
        <v>2.1473300000000002</v>
      </c>
      <c r="E48" s="3">
        <v>1.9191199999999999</v>
      </c>
    </row>
    <row r="49" spans="1:5" x14ac:dyDescent="0.35">
      <c r="A49" s="2">
        <v>43435</v>
      </c>
      <c r="B49" s="4">
        <f>Policy_Rates!B49</f>
        <v>1.3</v>
      </c>
      <c r="C49" s="4">
        <f>Policy_Rates!C49</f>
        <v>0</v>
      </c>
      <c r="D49" s="3">
        <v>2.00238</v>
      </c>
      <c r="E49" s="3">
        <v>1.5222500000000001</v>
      </c>
    </row>
    <row r="50" spans="1:5" x14ac:dyDescent="0.35">
      <c r="A50" s="2">
        <v>43466</v>
      </c>
      <c r="B50" s="4">
        <f>Policy_Rates!B50</f>
        <v>1.41</v>
      </c>
      <c r="C50" s="4">
        <f>Policy_Rates!C50</f>
        <v>0</v>
      </c>
      <c r="D50" s="3">
        <v>1.48759</v>
      </c>
      <c r="E50" s="3">
        <v>1.3884799999999999</v>
      </c>
    </row>
    <row r="51" spans="1:5" x14ac:dyDescent="0.35">
      <c r="A51" s="2">
        <v>43497</v>
      </c>
      <c r="B51" s="4">
        <f>Policy_Rates!B51</f>
        <v>1.42</v>
      </c>
      <c r="C51" s="4">
        <f>Policy_Rates!C51</f>
        <v>0</v>
      </c>
      <c r="D51" s="3">
        <v>1.5188600000000001</v>
      </c>
      <c r="E51" s="3">
        <v>1.4837400000000001</v>
      </c>
    </row>
    <row r="52" spans="1:5" x14ac:dyDescent="0.35">
      <c r="A52" s="2">
        <v>43525</v>
      </c>
      <c r="B52" s="4">
        <f>Policy_Rates!B52</f>
        <v>1.51</v>
      </c>
      <c r="C52" s="4">
        <f>Policy_Rates!C52</f>
        <v>0</v>
      </c>
      <c r="D52" s="3">
        <v>1.8831899999999999</v>
      </c>
      <c r="E52" s="3">
        <v>1.3994200000000001</v>
      </c>
    </row>
    <row r="53" spans="1:5" x14ac:dyDescent="0.35">
      <c r="A53" s="2">
        <v>43556</v>
      </c>
      <c r="B53" s="4">
        <f>Policy_Rates!B53</f>
        <v>1.69</v>
      </c>
      <c r="C53" s="4">
        <f>Policy_Rates!C53</f>
        <v>0</v>
      </c>
      <c r="D53" s="3">
        <v>2.0005799999999998</v>
      </c>
      <c r="E53" s="3">
        <v>1.71312</v>
      </c>
    </row>
    <row r="54" spans="1:5" x14ac:dyDescent="0.35">
      <c r="A54" s="2">
        <v>43586</v>
      </c>
      <c r="B54" s="4">
        <f>Policy_Rates!B54</f>
        <v>1.7</v>
      </c>
      <c r="C54" s="4">
        <f>Policy_Rates!C54</f>
        <v>0</v>
      </c>
      <c r="D54" s="3">
        <v>1.7959099999999999</v>
      </c>
      <c r="E54" s="3">
        <v>1.2216199999999999</v>
      </c>
    </row>
    <row r="55" spans="1:5" x14ac:dyDescent="0.35">
      <c r="A55" s="2">
        <v>43617</v>
      </c>
      <c r="B55" s="4">
        <f>Policy_Rates!B55</f>
        <v>1.82</v>
      </c>
      <c r="C55" s="4">
        <f>Policy_Rates!C55</f>
        <v>0</v>
      </c>
      <c r="D55" s="3">
        <v>1.67119</v>
      </c>
      <c r="E55" s="3">
        <v>1.2682599999999999</v>
      </c>
    </row>
    <row r="56" spans="1:5" x14ac:dyDescent="0.35">
      <c r="A56" s="2">
        <v>43647</v>
      </c>
      <c r="B56" s="4">
        <f>Policy_Rates!B56</f>
        <v>1.91</v>
      </c>
      <c r="C56" s="4">
        <f>Policy_Rates!C56</f>
        <v>0</v>
      </c>
      <c r="D56" s="3">
        <v>1.82633</v>
      </c>
      <c r="E56" s="3">
        <v>1.0206999999999999</v>
      </c>
    </row>
    <row r="57" spans="1:5" x14ac:dyDescent="0.35">
      <c r="A57" s="2">
        <v>43678</v>
      </c>
      <c r="B57" s="4">
        <f>Policy_Rates!B57</f>
        <v>1.91</v>
      </c>
      <c r="C57" s="4">
        <f>Policy_Rates!C57</f>
        <v>0</v>
      </c>
      <c r="D57" s="3">
        <v>1.7376400000000001</v>
      </c>
      <c r="E57" s="3">
        <v>1.00962</v>
      </c>
    </row>
    <row r="58" spans="1:5" x14ac:dyDescent="0.35">
      <c r="A58" s="2">
        <v>43709</v>
      </c>
      <c r="B58" s="4">
        <f>Policy_Rates!B58</f>
        <v>1.95</v>
      </c>
      <c r="C58" s="4">
        <f>Policy_Rates!C58</f>
        <v>0</v>
      </c>
      <c r="D58" s="3">
        <v>1.6845000000000001</v>
      </c>
      <c r="E58" s="3">
        <v>0.83325000000000005</v>
      </c>
    </row>
    <row r="59" spans="1:5" x14ac:dyDescent="0.35">
      <c r="A59" s="2">
        <v>43739</v>
      </c>
      <c r="B59" s="4">
        <f>Policy_Rates!B59</f>
        <v>2.19</v>
      </c>
      <c r="C59" s="4">
        <f>Policy_Rates!C59</f>
        <v>0</v>
      </c>
      <c r="D59" s="3">
        <v>1.73397</v>
      </c>
      <c r="E59" s="3">
        <v>0.72609000000000001</v>
      </c>
    </row>
    <row r="60" spans="1:5" x14ac:dyDescent="0.35">
      <c r="A60" s="2">
        <v>43770</v>
      </c>
      <c r="B60" s="4">
        <f>Policy_Rates!B60</f>
        <v>2.2000000000000002</v>
      </c>
      <c r="C60" s="4">
        <f>Policy_Rates!C60</f>
        <v>0</v>
      </c>
      <c r="D60" s="3">
        <v>2.0922900000000002</v>
      </c>
      <c r="E60" s="3">
        <v>0.96070999999999995</v>
      </c>
    </row>
    <row r="61" spans="1:5" x14ac:dyDescent="0.35">
      <c r="A61" s="2">
        <v>43800</v>
      </c>
      <c r="B61" s="4">
        <f>Policy_Rates!B61</f>
        <v>2.27</v>
      </c>
      <c r="C61" s="4">
        <f>Policy_Rates!C61</f>
        <v>0</v>
      </c>
      <c r="D61" s="3">
        <v>2.3195299999999999</v>
      </c>
      <c r="E61" s="3">
        <v>1.3264100000000001</v>
      </c>
    </row>
    <row r="62" spans="1:5" x14ac:dyDescent="0.35">
      <c r="A62" s="2">
        <v>43831</v>
      </c>
      <c r="B62" s="4">
        <f>Policy_Rates!B62</f>
        <v>2.4</v>
      </c>
      <c r="C62" s="4">
        <f>Policy_Rates!C62</f>
        <v>0</v>
      </c>
      <c r="D62" s="3">
        <v>2.5997699999999999</v>
      </c>
      <c r="E62" s="3">
        <v>1.3694599999999999</v>
      </c>
    </row>
    <row r="63" spans="1:5" x14ac:dyDescent="0.35">
      <c r="A63" s="2">
        <v>43862</v>
      </c>
      <c r="B63" s="4">
        <f>Policy_Rates!B63</f>
        <v>2.4</v>
      </c>
      <c r="C63" s="4">
        <f>Policy_Rates!C63</f>
        <v>0</v>
      </c>
      <c r="D63" s="3">
        <v>2.3413200000000001</v>
      </c>
      <c r="E63" s="3">
        <v>1.22967</v>
      </c>
    </row>
    <row r="64" spans="1:5" x14ac:dyDescent="0.35">
      <c r="A64" s="2">
        <v>43891</v>
      </c>
      <c r="B64" s="4">
        <f>Policy_Rates!B64</f>
        <v>2.41</v>
      </c>
      <c r="C64" s="4">
        <f>Policy_Rates!C64</f>
        <v>0</v>
      </c>
      <c r="D64" s="3">
        <v>1.49404</v>
      </c>
      <c r="E64" s="3">
        <v>0.74756</v>
      </c>
    </row>
    <row r="65" spans="1:5" x14ac:dyDescent="0.35">
      <c r="A65" s="2">
        <v>43922</v>
      </c>
      <c r="B65" s="4">
        <f>Policy_Rates!B65</f>
        <v>2.42</v>
      </c>
      <c r="C65" s="4">
        <f>Policy_Rates!C65</f>
        <v>0</v>
      </c>
      <c r="D65" s="3">
        <v>0.31304999999999999</v>
      </c>
      <c r="E65" s="3">
        <v>0.31402000000000002</v>
      </c>
    </row>
    <row r="66" spans="1:5" x14ac:dyDescent="0.35">
      <c r="A66" s="2">
        <v>43952</v>
      </c>
      <c r="B66" s="4">
        <f>Policy_Rates!B66</f>
        <v>2.39</v>
      </c>
      <c r="C66" s="4">
        <f>Policy_Rates!C66</f>
        <v>0</v>
      </c>
      <c r="D66" s="3">
        <v>0.19819999999999999</v>
      </c>
      <c r="E66" s="3">
        <v>8.5529999999999995E-2</v>
      </c>
    </row>
    <row r="67" spans="1:5" x14ac:dyDescent="0.35">
      <c r="A67" s="2">
        <v>43983</v>
      </c>
      <c r="B67" s="4">
        <f>Policy_Rates!B67</f>
        <v>2.38</v>
      </c>
      <c r="C67" s="4">
        <f>Policy_Rates!C67</f>
        <v>0</v>
      </c>
      <c r="D67" s="3">
        <v>0.71665999999999996</v>
      </c>
      <c r="E67" s="3">
        <v>0.26565</v>
      </c>
    </row>
    <row r="68" spans="1:5" x14ac:dyDescent="0.35">
      <c r="A68" s="2">
        <v>44013</v>
      </c>
      <c r="B68" s="4">
        <f>Policy_Rates!B68</f>
        <v>2.4</v>
      </c>
      <c r="C68" s="4">
        <f>Policy_Rates!C68</f>
        <v>0</v>
      </c>
      <c r="D68" s="3">
        <v>0.99685999999999997</v>
      </c>
      <c r="E68" s="3">
        <v>0.38128000000000001</v>
      </c>
    </row>
    <row r="69" spans="1:5" x14ac:dyDescent="0.35">
      <c r="A69" s="2">
        <v>44044</v>
      </c>
      <c r="B69" s="4">
        <f>Policy_Rates!B69</f>
        <v>2.13</v>
      </c>
      <c r="C69" s="4">
        <f>Policy_Rates!C69</f>
        <v>0</v>
      </c>
      <c r="D69" s="3">
        <v>1.2810699999999999</v>
      </c>
      <c r="E69" s="3">
        <v>-0.17135</v>
      </c>
    </row>
    <row r="70" spans="1:5" x14ac:dyDescent="0.35">
      <c r="A70" s="2">
        <v>44075</v>
      </c>
      <c r="B70" s="4">
        <f>Policy_Rates!B70</f>
        <v>2.04</v>
      </c>
      <c r="C70" s="4">
        <f>Policy_Rates!C70</f>
        <v>0</v>
      </c>
      <c r="D70" s="3">
        <v>1.3910199999999999</v>
      </c>
      <c r="E70" s="3">
        <v>-0.31345000000000001</v>
      </c>
    </row>
    <row r="71" spans="1:5" x14ac:dyDescent="0.35">
      <c r="A71" s="2">
        <v>44105</v>
      </c>
      <c r="B71" s="4">
        <f>Policy_Rates!B71</f>
        <v>1.83</v>
      </c>
      <c r="C71" s="4">
        <f>Policy_Rates!C71</f>
        <v>0</v>
      </c>
      <c r="D71" s="3">
        <v>1.2303900000000001</v>
      </c>
      <c r="E71" s="3">
        <v>-0.27506000000000003</v>
      </c>
    </row>
    <row r="72" spans="1:5" x14ac:dyDescent="0.35">
      <c r="A72" s="2">
        <v>44136</v>
      </c>
      <c r="B72" s="4">
        <f>Policy_Rates!B72</f>
        <v>1.55</v>
      </c>
      <c r="C72" s="4">
        <f>Policy_Rates!C72</f>
        <v>0</v>
      </c>
      <c r="D72" s="3">
        <v>1.1757500000000001</v>
      </c>
      <c r="E72" s="3">
        <v>-0.28547</v>
      </c>
    </row>
    <row r="73" spans="1:5" x14ac:dyDescent="0.35">
      <c r="A73" s="2">
        <v>44166</v>
      </c>
      <c r="B73" s="4">
        <f>Policy_Rates!B73</f>
        <v>1.55</v>
      </c>
      <c r="C73" s="4">
        <f>Policy_Rates!C73</f>
        <v>0</v>
      </c>
      <c r="D73" s="3">
        <v>1.3204199999999999</v>
      </c>
      <c r="E73" s="3">
        <v>-0.27509</v>
      </c>
    </row>
    <row r="74" spans="1:5" x14ac:dyDescent="0.35">
      <c r="A74" s="2">
        <v>44197</v>
      </c>
      <c r="B74" s="4">
        <f>Policy_Rates!B74</f>
        <v>1.55</v>
      </c>
      <c r="C74" s="4">
        <f>Policy_Rates!C74</f>
        <v>0</v>
      </c>
      <c r="D74" s="3">
        <v>1.3553200000000001</v>
      </c>
      <c r="E74" s="3">
        <v>0.90064</v>
      </c>
    </row>
    <row r="75" spans="1:5" x14ac:dyDescent="0.35">
      <c r="A75" s="2">
        <v>44228</v>
      </c>
      <c r="B75" s="4">
        <f>Policy_Rates!B75</f>
        <v>1.58</v>
      </c>
      <c r="C75" s="4">
        <f>Policy_Rates!C75</f>
        <v>0</v>
      </c>
      <c r="D75" s="3">
        <v>1.6675</v>
      </c>
      <c r="E75" s="3">
        <v>0.93735000000000002</v>
      </c>
    </row>
    <row r="76" spans="1:5" x14ac:dyDescent="0.35">
      <c r="A76" s="2">
        <v>44256</v>
      </c>
      <c r="B76" s="4">
        <f>Policy_Rates!B76</f>
        <v>0.65</v>
      </c>
      <c r="C76" s="4">
        <f>Policy_Rates!C76</f>
        <v>0</v>
      </c>
      <c r="D76" s="3">
        <v>2.62365</v>
      </c>
      <c r="E76" s="3">
        <v>1.3318099999999999</v>
      </c>
    </row>
    <row r="77" spans="1:5" x14ac:dyDescent="0.35">
      <c r="A77" s="2">
        <v>44287</v>
      </c>
      <c r="B77" s="4">
        <f>Policy_Rates!B77</f>
        <v>0.05</v>
      </c>
      <c r="C77" s="4">
        <f>Policy_Rates!C77</f>
        <v>0</v>
      </c>
      <c r="D77" s="3">
        <v>4.1373699999999998</v>
      </c>
      <c r="E77" s="3">
        <v>1.6126</v>
      </c>
    </row>
    <row r="78" spans="1:5" x14ac:dyDescent="0.35">
      <c r="A78" s="2">
        <v>44317</v>
      </c>
      <c r="B78" s="4">
        <f>Policy_Rates!B78</f>
        <v>0.05</v>
      </c>
      <c r="C78" s="4">
        <f>Policy_Rates!C78</f>
        <v>0</v>
      </c>
      <c r="D78" s="3">
        <v>4.9264700000000001</v>
      </c>
      <c r="E78" s="3">
        <v>1.9749300000000001</v>
      </c>
    </row>
    <row r="79" spans="1:5" x14ac:dyDescent="0.35">
      <c r="A79" s="2">
        <v>44348</v>
      </c>
      <c r="B79" s="4">
        <f>Policy_Rates!B79</f>
        <v>0.08</v>
      </c>
      <c r="C79" s="4">
        <f>Policy_Rates!C79</f>
        <v>0</v>
      </c>
      <c r="D79" s="3">
        <v>5.3174200000000003</v>
      </c>
      <c r="E79" s="3">
        <v>1.9019699999999999</v>
      </c>
    </row>
    <row r="80" spans="1:5" x14ac:dyDescent="0.35">
      <c r="A80" s="2">
        <v>44378</v>
      </c>
      <c r="B80" s="4">
        <f>Policy_Rates!B80</f>
        <v>0.09</v>
      </c>
      <c r="C80" s="4">
        <f>Policy_Rates!C80</f>
        <v>0</v>
      </c>
      <c r="D80" s="3">
        <v>5.2691699999999999</v>
      </c>
      <c r="E80" s="3">
        <v>2.1745299999999999</v>
      </c>
    </row>
    <row r="81" spans="1:5" x14ac:dyDescent="0.35">
      <c r="A81" s="2">
        <v>44409</v>
      </c>
      <c r="B81" s="4">
        <f>Policy_Rates!B81</f>
        <v>0.1</v>
      </c>
      <c r="C81" s="4">
        <f>Policy_Rates!C81</f>
        <v>0</v>
      </c>
      <c r="D81" s="3">
        <v>5.1813200000000004</v>
      </c>
      <c r="E81" s="3">
        <v>2.9560399999999998</v>
      </c>
    </row>
    <row r="82" spans="1:5" x14ac:dyDescent="0.35">
      <c r="A82" s="2">
        <v>44440</v>
      </c>
      <c r="B82" s="4">
        <f>Policy_Rates!B82</f>
        <v>0.09</v>
      </c>
      <c r="C82" s="4">
        <f>Policy_Rates!C82</f>
        <v>0</v>
      </c>
      <c r="D82" s="3">
        <v>5.3635200000000003</v>
      </c>
      <c r="E82" s="3">
        <v>3.3635100000000002</v>
      </c>
    </row>
    <row r="83" spans="1:5" x14ac:dyDescent="0.35">
      <c r="A83" s="2">
        <v>44470</v>
      </c>
      <c r="B83" s="4">
        <f>Policy_Rates!B83</f>
        <v>0.09</v>
      </c>
      <c r="C83" s="4">
        <f>Policy_Rates!C83</f>
        <v>0</v>
      </c>
      <c r="D83" s="3">
        <v>6.2265899999999998</v>
      </c>
      <c r="E83" s="3">
        <v>4.0517399999999997</v>
      </c>
    </row>
    <row r="84" spans="1:5" x14ac:dyDescent="0.35">
      <c r="A84" s="2">
        <v>44501</v>
      </c>
      <c r="B84" s="4">
        <f>Policy_Rates!B84</f>
        <v>0.09</v>
      </c>
      <c r="C84" s="4">
        <f>Policy_Rates!C84</f>
        <v>0</v>
      </c>
      <c r="D84" s="3">
        <v>6.8655600000000003</v>
      </c>
      <c r="E84" s="3">
        <v>4.8668800000000001</v>
      </c>
    </row>
    <row r="85" spans="1:5" x14ac:dyDescent="0.35">
      <c r="A85" s="2">
        <v>44531</v>
      </c>
      <c r="B85" s="4">
        <f>Policy_Rates!B85</f>
        <v>0.09</v>
      </c>
      <c r="C85" s="4">
        <f>Policy_Rates!C85</f>
        <v>0</v>
      </c>
      <c r="D85" s="3">
        <v>7.1594600000000002</v>
      </c>
      <c r="E85" s="3">
        <v>4.9747899999999996</v>
      </c>
    </row>
    <row r="86" spans="1:5" x14ac:dyDescent="0.35">
      <c r="A86" s="2">
        <v>44562</v>
      </c>
      <c r="B86" s="4">
        <f>Policy_Rates!B86</f>
        <v>0.09</v>
      </c>
      <c r="C86" s="4">
        <f>Policy_Rates!C86</f>
        <v>0</v>
      </c>
      <c r="D86" s="3">
        <v>7.5780799999999999</v>
      </c>
      <c r="E86" s="3">
        <v>5.1087300000000004</v>
      </c>
    </row>
    <row r="87" spans="1:5" x14ac:dyDescent="0.35">
      <c r="A87" s="2">
        <v>44593</v>
      </c>
      <c r="B87" s="4">
        <f>Policy_Rates!B87</f>
        <v>0.08</v>
      </c>
      <c r="C87" s="4">
        <f>Policy_Rates!C87</f>
        <v>0</v>
      </c>
      <c r="D87" s="3">
        <v>7.9492200000000004</v>
      </c>
      <c r="E87" s="3">
        <v>5.8751100000000003</v>
      </c>
    </row>
    <row r="88" spans="1:5" x14ac:dyDescent="0.35">
      <c r="A88" s="2">
        <v>44621</v>
      </c>
      <c r="B88" s="4">
        <f>Policy_Rates!B88</f>
        <v>7.0000000000000007E-2</v>
      </c>
      <c r="C88" s="4">
        <f>Policy_Rates!C88</f>
        <v>0</v>
      </c>
      <c r="D88" s="3">
        <v>8.5407799999999998</v>
      </c>
      <c r="E88" s="3">
        <v>7.4446099999999999</v>
      </c>
    </row>
    <row r="89" spans="1:5" x14ac:dyDescent="0.35">
      <c r="A89" s="2">
        <v>44652</v>
      </c>
      <c r="B89" s="4">
        <f>Policy_Rates!B89</f>
        <v>7.0000000000000007E-2</v>
      </c>
      <c r="C89" s="4">
        <f>Policy_Rates!C89</f>
        <v>0</v>
      </c>
      <c r="D89" s="3">
        <v>8.2351600000000005</v>
      </c>
      <c r="E89" s="3">
        <v>7.45892</v>
      </c>
    </row>
    <row r="90" spans="1:5" x14ac:dyDescent="0.35">
      <c r="A90" s="2">
        <v>44682</v>
      </c>
      <c r="B90" s="4">
        <f>Policy_Rates!B90</f>
        <v>0.06</v>
      </c>
      <c r="C90" s="4">
        <f>Policy_Rates!C90</f>
        <v>0</v>
      </c>
      <c r="D90" s="3">
        <v>8.5300499999999992</v>
      </c>
      <c r="E90" s="3">
        <v>8.0726300000000002</v>
      </c>
    </row>
    <row r="91" spans="1:5" x14ac:dyDescent="0.35">
      <c r="A91" s="2">
        <v>44713</v>
      </c>
      <c r="B91" s="4">
        <f>Policy_Rates!B91</f>
        <v>0.08</v>
      </c>
      <c r="C91" s="4">
        <f>Policy_Rates!C91</f>
        <v>0</v>
      </c>
      <c r="D91" s="3">
        <v>8.9992999999999999</v>
      </c>
      <c r="E91" s="3">
        <v>8.6637599999999999</v>
      </c>
    </row>
    <row r="92" spans="1:5" x14ac:dyDescent="0.35">
      <c r="A92" s="2">
        <v>44743</v>
      </c>
      <c r="B92" s="4">
        <f>Policy_Rates!B92</f>
        <v>0.1</v>
      </c>
      <c r="C92" s="4">
        <f>Policy_Rates!C92</f>
        <v>0</v>
      </c>
      <c r="D92" s="3">
        <v>8.4477799999999998</v>
      </c>
      <c r="E92" s="3">
        <v>8.88476</v>
      </c>
    </row>
    <row r="93" spans="1:5" x14ac:dyDescent="0.35">
      <c r="A93" s="2">
        <v>44774</v>
      </c>
      <c r="B93" s="4">
        <f>Policy_Rates!B93</f>
        <v>0.09</v>
      </c>
      <c r="C93" s="4">
        <f>Policy_Rates!C93</f>
        <v>0</v>
      </c>
      <c r="D93" s="3">
        <v>8.2162600000000001</v>
      </c>
      <c r="E93" s="3">
        <v>9.1692099999999996</v>
      </c>
    </row>
    <row r="94" spans="1:5" x14ac:dyDescent="0.35">
      <c r="A94" s="2">
        <v>44805</v>
      </c>
      <c r="B94" s="4">
        <f>Policy_Rates!B94</f>
        <v>0.08</v>
      </c>
      <c r="C94" s="4">
        <f>Policy_Rates!C94</f>
        <v>0</v>
      </c>
      <c r="D94" s="3">
        <v>8.2057500000000001</v>
      </c>
      <c r="E94" s="3">
        <v>9.9465299999999992</v>
      </c>
    </row>
    <row r="95" spans="1:5" x14ac:dyDescent="0.35">
      <c r="A95" s="2">
        <v>44835</v>
      </c>
      <c r="B95" s="4">
        <f>Policy_Rates!B95</f>
        <v>0.08</v>
      </c>
      <c r="C95" s="4">
        <f>Policy_Rates!C95</f>
        <v>0</v>
      </c>
      <c r="D95" s="3">
        <v>7.7572599999999996</v>
      </c>
      <c r="E95" s="3">
        <v>10.639849999999999</v>
      </c>
    </row>
    <row r="96" spans="1:5" x14ac:dyDescent="0.35">
      <c r="A96" s="2">
        <v>44866</v>
      </c>
      <c r="B96" s="4">
        <f>Policy_Rates!B96</f>
        <v>0.08</v>
      </c>
      <c r="C96" s="4">
        <f>Policy_Rates!C96</f>
        <v>0</v>
      </c>
      <c r="D96" s="3">
        <v>7.1313800000000001</v>
      </c>
      <c r="E96" s="3">
        <v>10.07371</v>
      </c>
    </row>
    <row r="97" spans="1:5" x14ac:dyDescent="0.35">
      <c r="A97" s="2">
        <v>44896</v>
      </c>
      <c r="B97" s="4">
        <f>Policy_Rates!B97</f>
        <v>0.08</v>
      </c>
      <c r="C97" s="4">
        <f>Policy_Rates!C97</f>
        <v>0</v>
      </c>
      <c r="D97" s="3">
        <v>6.4108299999999998</v>
      </c>
      <c r="E97" s="3">
        <v>9.2152999999999992</v>
      </c>
    </row>
    <row r="98" spans="1:5" x14ac:dyDescent="0.35">
      <c r="A98" s="2">
        <v>44927</v>
      </c>
      <c r="B98" s="4">
        <f>Policy_Rates!B98</f>
        <v>0.08</v>
      </c>
      <c r="C98" s="4">
        <f>Policy_Rates!C98</f>
        <v>0</v>
      </c>
      <c r="D98" s="3">
        <v>6.3403</v>
      </c>
      <c r="E98" s="3">
        <v>8.6638400000000004</v>
      </c>
    </row>
    <row r="99" spans="1:5" x14ac:dyDescent="0.35">
      <c r="A99" s="2">
        <v>44958</v>
      </c>
      <c r="B99" s="4">
        <f>Policy_Rates!B99</f>
        <v>0.08</v>
      </c>
      <c r="C99" s="4">
        <f>Policy_Rates!C99</f>
        <v>0</v>
      </c>
      <c r="D99" s="3">
        <v>5.9576500000000001</v>
      </c>
      <c r="E99" s="3">
        <v>8.5205400000000004</v>
      </c>
    </row>
    <row r="100" spans="1:5" x14ac:dyDescent="0.35">
      <c r="A100" s="2">
        <v>44986</v>
      </c>
      <c r="B100" s="4">
        <f>Policy_Rates!B100</f>
        <v>0.2</v>
      </c>
      <c r="C100" s="4">
        <f>Policy_Rates!C100</f>
        <v>0</v>
      </c>
      <c r="D100" s="3">
        <v>4.9313500000000001</v>
      </c>
      <c r="E100" s="3">
        <v>6.9025800000000004</v>
      </c>
    </row>
    <row r="101" spans="1:5" x14ac:dyDescent="0.35">
      <c r="A101" s="2">
        <v>45017</v>
      </c>
      <c r="B101" s="4">
        <f>Policy_Rates!B101</f>
        <v>0.33</v>
      </c>
      <c r="C101" s="4">
        <f>Policy_Rates!C101</f>
        <v>0</v>
      </c>
      <c r="D101" s="3">
        <v>4.9469500000000002</v>
      </c>
      <c r="E101" s="3">
        <v>6.9672499999999999</v>
      </c>
    </row>
    <row r="102" spans="1:5" x14ac:dyDescent="0.35">
      <c r="A102" s="2">
        <v>45047</v>
      </c>
      <c r="B102" s="4">
        <f>Policy_Rates!B102</f>
        <v>0.77</v>
      </c>
      <c r="C102" s="4">
        <f>Policy_Rates!C102</f>
        <v>0</v>
      </c>
      <c r="D102" s="3">
        <v>4.1253099999999998</v>
      </c>
      <c r="E102" s="3">
        <v>6.117</v>
      </c>
    </row>
    <row r="103" spans="1:5" x14ac:dyDescent="0.35">
      <c r="A103" s="2">
        <v>45078</v>
      </c>
      <c r="B103" s="4">
        <f>Policy_Rates!B103</f>
        <v>1.21</v>
      </c>
      <c r="C103" s="4">
        <f>Policy_Rates!C103</f>
        <v>0</v>
      </c>
      <c r="D103" s="3">
        <v>3.05925</v>
      </c>
      <c r="E103" s="3">
        <v>5.5204199999999997</v>
      </c>
    </row>
    <row r="104" spans="1:5" x14ac:dyDescent="0.35">
      <c r="A104" s="2">
        <v>45108</v>
      </c>
      <c r="B104" s="4">
        <f>Policy_Rates!B104</f>
        <v>1.68</v>
      </c>
      <c r="C104" s="4">
        <f>Policy_Rates!C104</f>
        <v>0.5</v>
      </c>
      <c r="D104" s="3">
        <v>3.2803300000000002</v>
      </c>
      <c r="E104" s="3">
        <v>5.30044</v>
      </c>
    </row>
    <row r="105" spans="1:5" x14ac:dyDescent="0.35">
      <c r="A105" s="2">
        <v>45139</v>
      </c>
      <c r="B105" s="4">
        <f>Policy_Rates!B105</f>
        <v>2.33</v>
      </c>
      <c r="C105" s="4">
        <f>Policy_Rates!C105</f>
        <v>0.5</v>
      </c>
      <c r="D105" s="3">
        <v>3.7186400000000002</v>
      </c>
      <c r="E105" s="3">
        <v>5.2345800000000002</v>
      </c>
    </row>
    <row r="106" spans="1:5" x14ac:dyDescent="0.35">
      <c r="A106" s="2">
        <v>45170</v>
      </c>
      <c r="B106" s="4">
        <f>Policy_Rates!B106</f>
        <v>2.56</v>
      </c>
      <c r="C106" s="4">
        <f>Policy_Rates!C106</f>
        <v>1.25</v>
      </c>
      <c r="D106" s="3">
        <v>3.6950799999999999</v>
      </c>
      <c r="E106" s="3">
        <v>4.3346999999999998</v>
      </c>
    </row>
    <row r="107" spans="1:5" x14ac:dyDescent="0.35">
      <c r="A107" s="2">
        <v>45200</v>
      </c>
      <c r="B107" s="4">
        <f>Policy_Rates!B107</f>
        <v>3.08</v>
      </c>
      <c r="C107" s="4">
        <f>Policy_Rates!C107</f>
        <v>2</v>
      </c>
      <c r="D107" s="3">
        <v>3.24654</v>
      </c>
      <c r="E107" s="3">
        <v>2.8998699999999999</v>
      </c>
    </row>
    <row r="108" spans="1:5" x14ac:dyDescent="0.35">
      <c r="A108" s="2">
        <v>45231</v>
      </c>
      <c r="B108" s="4">
        <f>Policy_Rates!B108</f>
        <v>3.78</v>
      </c>
      <c r="C108" s="4">
        <f>Policy_Rates!C108</f>
        <v>2</v>
      </c>
      <c r="D108" s="3">
        <v>3.1398600000000001</v>
      </c>
      <c r="E108" s="3">
        <v>2.3974899999999999</v>
      </c>
    </row>
    <row r="109" spans="1:5" x14ac:dyDescent="0.35">
      <c r="A109" s="2">
        <v>45261</v>
      </c>
      <c r="B109" s="4">
        <f>Policy_Rates!B109</f>
        <v>4.0999999999999996</v>
      </c>
      <c r="C109" s="4">
        <f>Policy_Rates!C109</f>
        <v>2.5</v>
      </c>
      <c r="D109" s="3">
        <v>3.3222</v>
      </c>
      <c r="E109" s="3">
        <v>2.9287299999999998</v>
      </c>
    </row>
    <row r="110" spans="1:5" x14ac:dyDescent="0.35">
      <c r="A110" s="2">
        <v>45292</v>
      </c>
      <c r="B110" s="4">
        <f>Policy_Rates!B110</f>
        <v>4.33</v>
      </c>
      <c r="C110" s="4">
        <f>Policy_Rates!C110</f>
        <v>3</v>
      </c>
      <c r="D110" s="3">
        <v>3.1079400000000001</v>
      </c>
      <c r="E110" s="3">
        <v>2.77685</v>
      </c>
    </row>
    <row r="111" spans="1:5" x14ac:dyDescent="0.35">
      <c r="A111" s="2">
        <v>45323</v>
      </c>
      <c r="B111" s="4">
        <f>Policy_Rates!B111</f>
        <v>4.57</v>
      </c>
      <c r="C111" s="4">
        <f>Policy_Rates!C111</f>
        <v>3</v>
      </c>
      <c r="D111" s="3">
        <v>3.16642</v>
      </c>
      <c r="E111" s="3">
        <v>2.5814400000000002</v>
      </c>
    </row>
    <row r="112" spans="1:5" x14ac:dyDescent="0.35">
      <c r="A112" s="2">
        <v>45352</v>
      </c>
      <c r="B112" s="4">
        <f>Policy_Rates!B112</f>
        <v>4.6500000000000004</v>
      </c>
      <c r="C112" s="4">
        <f>Policy_Rates!C112</f>
        <v>3.5</v>
      </c>
      <c r="D112" s="3">
        <v>3.4689999999999999</v>
      </c>
      <c r="E112" s="3">
        <v>2.42746</v>
      </c>
    </row>
    <row r="113" spans="1:5" x14ac:dyDescent="0.35">
      <c r="A113" s="2">
        <v>45383</v>
      </c>
      <c r="B113" s="4">
        <f>Policy_Rates!B113</f>
        <v>4.83</v>
      </c>
      <c r="C113" s="4">
        <f>Policy_Rates!C113</f>
        <v>3.75</v>
      </c>
      <c r="D113" s="3">
        <v>3.35405</v>
      </c>
      <c r="E113" s="3">
        <v>2.37148</v>
      </c>
    </row>
    <row r="114" spans="1:5" x14ac:dyDescent="0.35">
      <c r="A114" s="2">
        <v>45413</v>
      </c>
      <c r="B114" s="4">
        <f>Policy_Rates!B114</f>
        <v>5.0599999999999996</v>
      </c>
      <c r="C114" s="4">
        <f>Policy_Rates!C114</f>
        <v>3.75</v>
      </c>
      <c r="D114" s="3">
        <v>3.2388699999999999</v>
      </c>
      <c r="E114" s="3">
        <v>2.5574400000000002</v>
      </c>
    </row>
    <row r="115" spans="1:5" x14ac:dyDescent="0.35">
      <c r="A115" s="2">
        <v>45444</v>
      </c>
      <c r="B115" s="4">
        <f>Policy_Rates!B115</f>
        <v>5.08</v>
      </c>
      <c r="C115" s="4">
        <f>Policy_Rates!C115</f>
        <v>4</v>
      </c>
      <c r="D115" s="3">
        <v>2.9700899999999999</v>
      </c>
      <c r="E115" s="3">
        <v>2.5186299999999999</v>
      </c>
    </row>
    <row r="116" spans="1:5" x14ac:dyDescent="0.35">
      <c r="A116" s="2">
        <v>45474</v>
      </c>
      <c r="B116" s="4">
        <f>Policy_Rates!B116</f>
        <v>5.12</v>
      </c>
      <c r="C116" s="4">
        <f>Policy_Rates!C116</f>
        <v>4.25</v>
      </c>
      <c r="D116" s="3">
        <v>2.9384600000000001</v>
      </c>
      <c r="E116" s="3">
        <v>2.5857199999999998</v>
      </c>
    </row>
    <row r="117" spans="1:5" x14ac:dyDescent="0.35">
      <c r="A117" s="2">
        <v>45505</v>
      </c>
      <c r="B117" s="4">
        <f>Policy_Rates!B117</f>
        <v>5.33</v>
      </c>
      <c r="C117" s="4">
        <f>Policy_Rates!C117</f>
        <v>4.25</v>
      </c>
      <c r="D117" s="3">
        <v>2.6109100000000001</v>
      </c>
      <c r="E117" s="3">
        <v>2.16866</v>
      </c>
    </row>
    <row r="118" spans="1:5" x14ac:dyDescent="0.35">
      <c r="A118" s="2">
        <v>45536</v>
      </c>
      <c r="B118" s="4">
        <f>Policy_Rates!B118</f>
        <v>5.33</v>
      </c>
      <c r="C118" s="4">
        <f>Policy_Rates!C118</f>
        <v>4.5</v>
      </c>
      <c r="D118" s="3">
        <v>2.4325399999999999</v>
      </c>
      <c r="E118" s="3">
        <v>1.7438100000000001</v>
      </c>
    </row>
    <row r="119" spans="1:5" x14ac:dyDescent="0.35">
      <c r="A119" s="2">
        <v>45566</v>
      </c>
      <c r="B119" s="4">
        <f>Policy_Rates!B119</f>
        <v>5.33</v>
      </c>
      <c r="C119" s="4">
        <f>Policy_Rates!C119</f>
        <v>4.5</v>
      </c>
      <c r="D119" s="3">
        <v>2.5714000000000001</v>
      </c>
      <c r="E119" s="3">
        <v>2.0072299999999998</v>
      </c>
    </row>
    <row r="120" spans="1:5" x14ac:dyDescent="0.35">
      <c r="A120" s="2">
        <v>45597</v>
      </c>
      <c r="B120" s="4">
        <f>Policy_Rates!B120</f>
        <v>5.33</v>
      </c>
      <c r="C120" s="4">
        <f>Policy_Rates!C120</f>
        <v>4.5</v>
      </c>
      <c r="D120" s="3">
        <v>2.7141700000000002</v>
      </c>
      <c r="E120" s="3">
        <v>2.2364000000000002</v>
      </c>
    </row>
    <row r="121" spans="1:5" x14ac:dyDescent="0.35">
      <c r="A121" s="2">
        <v>45627</v>
      </c>
      <c r="B121" s="4">
        <f>Policy_Rates!B121</f>
        <v>5.33</v>
      </c>
      <c r="C121" s="4">
        <f>Policy_Rates!C121</f>
        <v>4.5</v>
      </c>
      <c r="D121" s="3">
        <v>2.8723700000000001</v>
      </c>
      <c r="E121" s="3">
        <v>2.43431</v>
      </c>
    </row>
    <row r="122" spans="1:5" x14ac:dyDescent="0.35">
      <c r="A122" s="2">
        <v>45658</v>
      </c>
      <c r="B122" s="4">
        <f>Policy_Rates!B122</f>
        <v>5.33</v>
      </c>
      <c r="C122" s="4">
        <f>Policy_Rates!C122</f>
        <v>4.5</v>
      </c>
      <c r="D122" s="3">
        <v>2.9994100000000001</v>
      </c>
      <c r="E122" s="3">
        <v>2.5157699999999998</v>
      </c>
    </row>
    <row r="123" spans="1:5" x14ac:dyDescent="0.35">
      <c r="A123" s="2">
        <v>45689</v>
      </c>
      <c r="B123" s="4">
        <f>Policy_Rates!B123</f>
        <v>5.33</v>
      </c>
      <c r="C123" s="4">
        <f>Policy_Rates!C123</f>
        <v>4.5</v>
      </c>
      <c r="D123" s="3">
        <v>2.81427</v>
      </c>
      <c r="E123" s="3">
        <v>2.3315600000000001</v>
      </c>
    </row>
    <row r="124" spans="1:5" x14ac:dyDescent="0.35">
      <c r="A124" s="2">
        <v>45717</v>
      </c>
      <c r="B124" s="4">
        <f>Policy_Rates!B124</f>
        <v>5.33</v>
      </c>
      <c r="C124" s="4">
        <f>Policy_Rates!C124</f>
        <v>4.5</v>
      </c>
      <c r="D124" s="3">
        <v>2.4055900000000001</v>
      </c>
      <c r="E124" s="3">
        <v>2.17842</v>
      </c>
    </row>
    <row r="125" spans="1:5" x14ac:dyDescent="0.35">
      <c r="A125" s="2">
        <v>45748</v>
      </c>
      <c r="B125" s="4">
        <f>Policy_Rates!B125</f>
        <v>5.33</v>
      </c>
      <c r="C125" s="4">
        <f>Policy_Rates!C125</f>
        <v>4.25</v>
      </c>
      <c r="D125" s="3">
        <v>2.3337500000000002</v>
      </c>
      <c r="E125" s="3">
        <v>2.16581</v>
      </c>
    </row>
    <row r="126" spans="1:5" x14ac:dyDescent="0.35">
      <c r="A126" s="2">
        <v>45778</v>
      </c>
      <c r="B126" s="4">
        <f>Policy_Rates!B126</f>
        <v>5.33</v>
      </c>
      <c r="C126" s="4">
        <f>Policy_Rates!C126</f>
        <v>4.25</v>
      </c>
      <c r="D126" s="3">
        <v>2.3759299999999999</v>
      </c>
      <c r="E126" s="3">
        <v>1.89994</v>
      </c>
    </row>
    <row r="127" spans="1:5" x14ac:dyDescent="0.35">
      <c r="A127" s="2">
        <v>45809</v>
      </c>
      <c r="B127" s="4">
        <f>Policy_Rates!B127</f>
        <v>5.33</v>
      </c>
      <c r="C127" s="4">
        <f>Policy_Rates!C127</f>
        <v>4.25</v>
      </c>
      <c r="D127" s="3">
        <v>2.6726800000000002</v>
      </c>
      <c r="E127" s="3">
        <v>1.99068</v>
      </c>
    </row>
    <row r="128" spans="1:5" x14ac:dyDescent="0.35">
      <c r="A128" s="2">
        <v>45839</v>
      </c>
      <c r="B128" s="4">
        <f>Policy_Rates!B128</f>
        <v>5.33</v>
      </c>
      <c r="C128" s="4">
        <f>Policy_Rates!C128</f>
        <v>4.25</v>
      </c>
      <c r="D128" s="3">
        <v>2.7317999999999998</v>
      </c>
      <c r="E128" s="3">
        <v>2.0306600000000001</v>
      </c>
    </row>
    <row r="129" spans="1:5" x14ac:dyDescent="0.35">
      <c r="A129" s="2">
        <v>45870</v>
      </c>
      <c r="B129" s="4">
        <f>Policy_Rates!B129</f>
        <v>5.33</v>
      </c>
      <c r="C129" s="4">
        <f>Policy_Rates!C129</f>
        <v>4.25</v>
      </c>
      <c r="D129" s="3">
        <v>2.9392200000000002</v>
      </c>
      <c r="E129" s="3">
        <v>2.0437099999999999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F5F0-1EEE-4FC6-B43E-22CB5D35A523}">
  <dimension ref="A1:E43"/>
  <sheetViews>
    <sheetView zoomScale="85" zoomScaleNormal="85" workbookViewId="0">
      <selection activeCell="H22" sqref="H22"/>
    </sheetView>
  </sheetViews>
  <sheetFormatPr defaultRowHeight="14.5" x14ac:dyDescent="0.35"/>
  <cols>
    <col min="1" max="1" width="8.7265625" style="1"/>
    <col min="2" max="2" width="22.7265625" style="1" bestFit="1" customWidth="1"/>
    <col min="3" max="3" width="27.1796875" style="1" bestFit="1" customWidth="1"/>
    <col min="4" max="4" width="24.26953125" bestFit="1" customWidth="1"/>
    <col min="5" max="5" width="28.7265625" bestFit="1" customWidth="1"/>
  </cols>
  <sheetData>
    <row r="1" spans="1:5" x14ac:dyDescent="0.35">
      <c r="A1" s="1" t="str">
        <f>GDP_Growth!B1</f>
        <v>QUARTER</v>
      </c>
      <c r="B1" s="1" t="s">
        <v>57</v>
      </c>
      <c r="C1" s="1" t="s">
        <v>58</v>
      </c>
      <c r="D1" s="1" t="s">
        <v>55</v>
      </c>
      <c r="E1" t="s">
        <v>56</v>
      </c>
    </row>
    <row r="2" spans="1:5" x14ac:dyDescent="0.35">
      <c r="A2" s="1" t="str">
        <f>GDP_Growth!B2</f>
        <v>2015Q1</v>
      </c>
      <c r="B2" s="5">
        <v>6.2</v>
      </c>
      <c r="C2" s="6">
        <v>12.4</v>
      </c>
      <c r="D2" s="5">
        <v>77.577031975949694</v>
      </c>
      <c r="E2" s="1">
        <v>59.5</v>
      </c>
    </row>
    <row r="3" spans="1:5" x14ac:dyDescent="0.35">
      <c r="A3" s="1" t="str">
        <f>GDP_Growth!B3</f>
        <v>2015Q2</v>
      </c>
      <c r="B3" s="5">
        <v>5.8</v>
      </c>
      <c r="C3" s="6">
        <v>12.52</v>
      </c>
      <c r="D3" s="5">
        <v>78.278556982782206</v>
      </c>
      <c r="E3" s="1">
        <v>59.2</v>
      </c>
    </row>
    <row r="4" spans="1:5" x14ac:dyDescent="0.35">
      <c r="A4" s="1" t="str">
        <f>GDP_Growth!B4</f>
        <v>2015Q3</v>
      </c>
      <c r="B4" s="5">
        <v>5.7</v>
      </c>
      <c r="C4" s="6">
        <v>12.44</v>
      </c>
      <c r="D4" s="5">
        <v>78.941760043727797</v>
      </c>
      <c r="E4" s="1">
        <v>58.8</v>
      </c>
    </row>
    <row r="5" spans="1:5" x14ac:dyDescent="0.35">
      <c r="A5" s="1" t="str">
        <f>GDP_Growth!B5</f>
        <v>2015Q4</v>
      </c>
      <c r="B5" s="5">
        <v>5.7</v>
      </c>
      <c r="C5" s="6">
        <v>12.53</v>
      </c>
      <c r="D5" s="5">
        <v>78.9769499863351</v>
      </c>
      <c r="E5" s="1">
        <v>58.6</v>
      </c>
    </row>
    <row r="6" spans="1:5" x14ac:dyDescent="0.35">
      <c r="A6" s="1" t="str">
        <f>GDP_Growth!B6</f>
        <v>2016Q1</v>
      </c>
      <c r="B6" s="5">
        <v>5.9</v>
      </c>
      <c r="C6" s="6">
        <v>12.55</v>
      </c>
      <c r="D6" s="5">
        <v>76.935054161415394</v>
      </c>
      <c r="E6" s="1">
        <v>58.1</v>
      </c>
    </row>
    <row r="7" spans="1:5" x14ac:dyDescent="0.35">
      <c r="A7" s="1" t="str">
        <f>GDP_Growth!B7</f>
        <v>2016Q2</v>
      </c>
      <c r="B7" s="5">
        <v>5.2</v>
      </c>
      <c r="C7" s="6">
        <v>12.67</v>
      </c>
      <c r="D7" s="5">
        <v>77.6255816303198</v>
      </c>
      <c r="E7" s="1">
        <v>58.2</v>
      </c>
    </row>
    <row r="8" spans="1:5" x14ac:dyDescent="0.35">
      <c r="A8" s="1" t="str">
        <f>GDP_Growth!B8</f>
        <v>2016Q3</v>
      </c>
      <c r="B8" s="5">
        <v>5.0999999999999996</v>
      </c>
      <c r="C8" s="6">
        <v>12.65</v>
      </c>
      <c r="D8" s="5">
        <v>78.517168397598496</v>
      </c>
      <c r="E8" s="1">
        <v>58.1</v>
      </c>
    </row>
    <row r="9" spans="1:5" x14ac:dyDescent="0.35">
      <c r="A9" s="1" t="str">
        <f>GDP_Growth!B9</f>
        <v>2016Q4</v>
      </c>
      <c r="B9" s="5">
        <v>5.2</v>
      </c>
      <c r="C9" s="6">
        <v>12.55</v>
      </c>
      <c r="D9" s="5">
        <v>79.060260889448998</v>
      </c>
      <c r="E9" s="1">
        <v>58</v>
      </c>
    </row>
    <row r="10" spans="1:5" x14ac:dyDescent="0.35">
      <c r="A10" s="1" t="str">
        <f>GDP_Growth!B10</f>
        <v>2017Q1</v>
      </c>
      <c r="B10" s="5">
        <v>5.5</v>
      </c>
      <c r="C10" s="6">
        <v>12.46</v>
      </c>
      <c r="D10" s="5">
        <v>76.095777606681594</v>
      </c>
      <c r="E10" s="1">
        <v>58.1</v>
      </c>
    </row>
    <row r="11" spans="1:5" x14ac:dyDescent="0.35">
      <c r="A11" s="1" t="str">
        <f>GDP_Growth!B11</f>
        <v>2017Q2</v>
      </c>
      <c r="B11" s="5">
        <v>6</v>
      </c>
      <c r="C11" s="6">
        <v>12.51</v>
      </c>
      <c r="D11" s="5">
        <v>76.881873945166504</v>
      </c>
      <c r="E11" s="1">
        <v>58</v>
      </c>
    </row>
    <row r="12" spans="1:5" x14ac:dyDescent="0.35">
      <c r="A12" s="1" t="str">
        <f>GDP_Growth!B12</f>
        <v>2017Q3</v>
      </c>
      <c r="B12" s="5">
        <v>6</v>
      </c>
      <c r="C12" s="6">
        <v>12.41</v>
      </c>
      <c r="D12" s="5">
        <v>77.637351431004305</v>
      </c>
      <c r="E12" s="1">
        <v>57.7</v>
      </c>
    </row>
    <row r="13" spans="1:5" x14ac:dyDescent="0.35">
      <c r="A13" s="1" t="str">
        <f>GDP_Growth!B13</f>
        <v>2017Q4</v>
      </c>
      <c r="B13" s="5">
        <v>5.5</v>
      </c>
      <c r="C13" s="6">
        <v>12.47</v>
      </c>
      <c r="D13" s="5">
        <v>78.625093692159396</v>
      </c>
      <c r="E13" s="1">
        <v>57.5</v>
      </c>
    </row>
    <row r="14" spans="1:5" x14ac:dyDescent="0.35">
      <c r="A14" s="1" t="str">
        <f>GDP_Growth!B14</f>
        <v>2018Q1</v>
      </c>
      <c r="B14" s="5">
        <v>5.8</v>
      </c>
      <c r="C14" s="6">
        <v>12.44</v>
      </c>
      <c r="D14" s="5">
        <v>74.8970410076235</v>
      </c>
      <c r="E14" s="1">
        <v>57</v>
      </c>
    </row>
    <row r="15" spans="1:5" x14ac:dyDescent="0.35">
      <c r="A15" s="1" t="str">
        <f>GDP_Growth!B15</f>
        <v>2018Q2</v>
      </c>
      <c r="B15" s="5">
        <v>6.1</v>
      </c>
      <c r="C15" s="6">
        <v>12.49</v>
      </c>
      <c r="D15" s="5">
        <v>75.505604161396903</v>
      </c>
      <c r="E15" s="1">
        <v>57</v>
      </c>
    </row>
    <row r="16" spans="1:5" x14ac:dyDescent="0.35">
      <c r="A16" s="1" t="str">
        <f>GDP_Growth!B16</f>
        <v>2018Q3</v>
      </c>
      <c r="B16" s="5">
        <v>6.6</v>
      </c>
      <c r="C16" s="6">
        <v>12.46</v>
      </c>
      <c r="D16" s="5">
        <v>76.316689278569399</v>
      </c>
      <c r="E16" s="1">
        <v>57</v>
      </c>
    </row>
    <row r="17" spans="1:5" x14ac:dyDescent="0.35">
      <c r="A17" s="1" t="str">
        <f>GDP_Growth!B17</f>
        <v>2018Q4</v>
      </c>
      <c r="B17" s="5">
        <v>7.2</v>
      </c>
      <c r="C17" s="6">
        <v>12.52</v>
      </c>
      <c r="D17" s="5">
        <v>76.956903448184093</v>
      </c>
      <c r="E17" s="1">
        <v>57</v>
      </c>
    </row>
    <row r="18" spans="1:5" x14ac:dyDescent="0.35">
      <c r="A18" s="1" t="str">
        <f>GDP_Growth!B18</f>
        <v>2019Q1</v>
      </c>
      <c r="B18" s="5">
        <v>8.3000000000000007</v>
      </c>
      <c r="C18" s="6">
        <v>12.68</v>
      </c>
      <c r="D18" s="5">
        <v>73.940215808049899</v>
      </c>
      <c r="E18" s="1">
        <v>56.8</v>
      </c>
    </row>
    <row r="19" spans="1:5" x14ac:dyDescent="0.35">
      <c r="A19" s="1" t="str">
        <f>GDP_Growth!B19</f>
        <v>2019Q2</v>
      </c>
      <c r="B19" s="5">
        <v>7.3</v>
      </c>
      <c r="C19" s="6">
        <v>12.91</v>
      </c>
      <c r="D19" s="5">
        <v>74.887083202278504</v>
      </c>
      <c r="E19" s="1">
        <v>56.9</v>
      </c>
    </row>
    <row r="20" spans="1:5" x14ac:dyDescent="0.35">
      <c r="A20" s="1" t="str">
        <f>GDP_Growth!B20</f>
        <v>2019Q3</v>
      </c>
      <c r="B20" s="5">
        <v>6.9</v>
      </c>
      <c r="C20" s="6">
        <v>13.04</v>
      </c>
      <c r="D20" s="5">
        <v>75.831271856165102</v>
      </c>
      <c r="E20" s="1">
        <v>56.9</v>
      </c>
    </row>
    <row r="21" spans="1:5" x14ac:dyDescent="0.35">
      <c r="A21" s="1" t="str">
        <f>GDP_Growth!B21</f>
        <v>2019Q4</v>
      </c>
      <c r="B21" s="5">
        <v>6.7</v>
      </c>
      <c r="C21" s="6">
        <v>13.02</v>
      </c>
      <c r="D21" s="5">
        <v>76.729810503494093</v>
      </c>
      <c r="E21" s="1">
        <v>57</v>
      </c>
    </row>
    <row r="22" spans="1:5" x14ac:dyDescent="0.35">
      <c r="A22" s="1" t="str">
        <f>GDP_Growth!B22</f>
        <v>2020Q1</v>
      </c>
      <c r="B22" s="5">
        <v>8.9</v>
      </c>
      <c r="C22" s="6">
        <v>13.94</v>
      </c>
      <c r="D22" s="5">
        <v>77.694899697365301</v>
      </c>
      <c r="E22" s="1">
        <v>57</v>
      </c>
    </row>
    <row r="23" spans="1:5" x14ac:dyDescent="0.35">
      <c r="A23" s="1" t="str">
        <f>GDP_Growth!B23</f>
        <v>2020Q2</v>
      </c>
      <c r="B23" s="5">
        <v>24.2</v>
      </c>
      <c r="C23" s="6">
        <v>16.72</v>
      </c>
      <c r="D23" s="5">
        <v>77.728293713743795</v>
      </c>
      <c r="E23" s="1">
        <v>59.2</v>
      </c>
    </row>
    <row r="24" spans="1:5" x14ac:dyDescent="0.35">
      <c r="A24" s="1" t="str">
        <f>GDP_Growth!B24</f>
        <v>2020Q3</v>
      </c>
      <c r="B24" s="5">
        <v>15</v>
      </c>
      <c r="C24" s="6">
        <v>17.71</v>
      </c>
      <c r="D24" s="5">
        <v>78.939352467029195</v>
      </c>
      <c r="E24" s="1">
        <v>60.1</v>
      </c>
    </row>
    <row r="25" spans="1:5" x14ac:dyDescent="0.35">
      <c r="A25" s="1" t="str">
        <f>GDP_Growth!B25</f>
        <v>2020Q4</v>
      </c>
      <c r="B25" s="5">
        <v>12.2</v>
      </c>
      <c r="C25" s="6">
        <v>19.38</v>
      </c>
      <c r="D25" s="5">
        <v>80.2059461579437</v>
      </c>
      <c r="E25" s="1">
        <v>61.2</v>
      </c>
    </row>
    <row r="26" spans="1:5" x14ac:dyDescent="0.35">
      <c r="A26" s="1" t="str">
        <f>GDP_Growth!B26</f>
        <v>2021Q1</v>
      </c>
      <c r="B26" s="5">
        <v>19.600000000000001</v>
      </c>
      <c r="C26" s="6">
        <v>20.350000000000001</v>
      </c>
      <c r="D26" s="5">
        <v>73.025181394081997</v>
      </c>
      <c r="E26" s="1">
        <v>61.4</v>
      </c>
    </row>
    <row r="27" spans="1:5" x14ac:dyDescent="0.35">
      <c r="A27" s="1" t="str">
        <f>GDP_Growth!B27</f>
        <v>2021Q2</v>
      </c>
      <c r="B27" s="5">
        <v>10.4</v>
      </c>
      <c r="C27" s="6">
        <v>18.989999999999998</v>
      </c>
      <c r="D27" s="5">
        <v>76.051108105911098</v>
      </c>
      <c r="E27" s="1">
        <v>60</v>
      </c>
    </row>
    <row r="28" spans="1:5" x14ac:dyDescent="0.35">
      <c r="A28" s="1" t="str">
        <f>GDP_Growth!B28</f>
        <v>2021Q3</v>
      </c>
      <c r="B28" s="5">
        <v>8.6</v>
      </c>
      <c r="C28" s="6">
        <v>18.46</v>
      </c>
      <c r="D28" s="5">
        <v>77.513109041253202</v>
      </c>
      <c r="E28" s="1">
        <v>59.4</v>
      </c>
    </row>
    <row r="29" spans="1:5" x14ac:dyDescent="0.35">
      <c r="A29" s="1" t="str">
        <f>GDP_Growth!B29</f>
        <v>2021Q4</v>
      </c>
      <c r="B29" s="5">
        <v>6.7</v>
      </c>
      <c r="C29" s="6">
        <v>17.28</v>
      </c>
      <c r="D29" s="5">
        <v>79.138256442089599</v>
      </c>
      <c r="E29" s="1">
        <v>58.7</v>
      </c>
    </row>
    <row r="30" spans="1:5" x14ac:dyDescent="0.35">
      <c r="A30" s="1" t="str">
        <f>GDP_Growth!B30</f>
        <v>2022Q1</v>
      </c>
      <c r="B30" s="5">
        <v>3.8</v>
      </c>
      <c r="C30" s="6">
        <v>15.77</v>
      </c>
      <c r="D30" s="5">
        <v>73.190168762905202</v>
      </c>
      <c r="E30" s="1">
        <v>58</v>
      </c>
    </row>
    <row r="31" spans="1:5" x14ac:dyDescent="0.35">
      <c r="A31" s="1" t="str">
        <f>GDP_Growth!B31</f>
        <v>2022Q2</v>
      </c>
      <c r="B31" s="5">
        <v>2.5</v>
      </c>
      <c r="C31" s="6">
        <v>14.48</v>
      </c>
      <c r="D31" s="5">
        <v>74.599875417677595</v>
      </c>
      <c r="E31" s="1">
        <v>57.6</v>
      </c>
    </row>
    <row r="32" spans="1:5" x14ac:dyDescent="0.35">
      <c r="A32" s="1" t="str">
        <f>GDP_Growth!B32</f>
        <v>2022Q3</v>
      </c>
      <c r="B32" s="5">
        <v>3.3</v>
      </c>
      <c r="C32" s="6">
        <v>13.95</v>
      </c>
      <c r="D32" s="5">
        <v>75.837481591423796</v>
      </c>
      <c r="E32" s="1">
        <v>56.9</v>
      </c>
    </row>
    <row r="33" spans="1:5" x14ac:dyDescent="0.35">
      <c r="A33" s="1" t="str">
        <f>GDP_Growth!B33</f>
        <v>2022Q4</v>
      </c>
      <c r="B33" s="5">
        <v>3.8</v>
      </c>
      <c r="C33" s="6">
        <v>13.56</v>
      </c>
      <c r="D33" s="5">
        <v>76.645728633554896</v>
      </c>
      <c r="E33" s="1">
        <v>56</v>
      </c>
    </row>
    <row r="34" spans="1:5" x14ac:dyDescent="0.35">
      <c r="A34" s="1" t="str">
        <f>GDP_Growth!B34</f>
        <v>2023Q1</v>
      </c>
      <c r="B34" s="5">
        <v>5.5</v>
      </c>
      <c r="C34" s="6">
        <v>13.41</v>
      </c>
      <c r="D34" s="5">
        <v>72.024021738248194</v>
      </c>
      <c r="E34" s="1">
        <v>54.9</v>
      </c>
    </row>
    <row r="35" spans="1:5" x14ac:dyDescent="0.35">
      <c r="A35" s="1" t="str">
        <f>GDP_Growth!B35</f>
        <v>2023Q2</v>
      </c>
      <c r="B35" s="5">
        <v>5.9</v>
      </c>
      <c r="C35" s="6">
        <v>13.75</v>
      </c>
      <c r="D35" s="5">
        <v>72.629590315549095</v>
      </c>
      <c r="E35" s="1">
        <v>54.2</v>
      </c>
    </row>
    <row r="36" spans="1:5" x14ac:dyDescent="0.35">
      <c r="A36" s="1" t="str">
        <f>GDP_Growth!B36</f>
        <v>2023Q3</v>
      </c>
      <c r="B36" s="5">
        <v>5.5</v>
      </c>
      <c r="C36" s="6">
        <v>13.94</v>
      </c>
      <c r="D36" s="5">
        <v>73.274645594586701</v>
      </c>
      <c r="E36" s="1">
        <v>53.5</v>
      </c>
    </row>
    <row r="37" spans="1:5" x14ac:dyDescent="0.35">
      <c r="A37" s="1" t="str">
        <f>GDP_Growth!B37</f>
        <v>2023Q4</v>
      </c>
      <c r="B37" s="5">
        <v>5.5</v>
      </c>
      <c r="C37" s="6">
        <v>14.23</v>
      </c>
      <c r="D37" s="5">
        <v>73.8734647091662</v>
      </c>
      <c r="E37" s="1">
        <v>52.8</v>
      </c>
    </row>
    <row r="38" spans="1:5" x14ac:dyDescent="0.35">
      <c r="A38" s="1" t="str">
        <f>GDP_Growth!B38</f>
        <v>2024Q1</v>
      </c>
      <c r="B38" s="5">
        <v>6.1</v>
      </c>
      <c r="C38" s="6">
        <v>14.56</v>
      </c>
      <c r="D38" s="5">
        <v>70.404932002508104</v>
      </c>
      <c r="E38" s="1">
        <v>52.2</v>
      </c>
    </row>
    <row r="39" spans="1:5" x14ac:dyDescent="0.35">
      <c r="A39" s="1" t="str">
        <f>GDP_Growth!B39</f>
        <v>2024Q2</v>
      </c>
      <c r="B39" s="5">
        <v>5.8</v>
      </c>
      <c r="C39" s="6">
        <v>14.89</v>
      </c>
      <c r="D39" s="5">
        <v>70.964944200596904</v>
      </c>
      <c r="E39" s="1">
        <v>52</v>
      </c>
    </row>
    <row r="40" spans="1:5" x14ac:dyDescent="0.35">
      <c r="A40" s="1" t="str">
        <f>GDP_Growth!B40</f>
        <v>2024Q3</v>
      </c>
      <c r="B40" s="5">
        <v>5.0999999999999996</v>
      </c>
      <c r="C40" s="6">
        <v>15.13</v>
      </c>
      <c r="D40" s="5">
        <v>71.555732587742298</v>
      </c>
      <c r="E40" s="1">
        <v>51.7</v>
      </c>
    </row>
    <row r="41" spans="1:5" x14ac:dyDescent="0.35">
      <c r="A41" s="1" t="str">
        <f>GDP_Growth!B41</f>
        <v>2024Q4</v>
      </c>
      <c r="B41" s="5">
        <v>4.7</v>
      </c>
      <c r="C41" s="6">
        <v>15.19</v>
      </c>
      <c r="D41" s="5">
        <v>71.3997272562181</v>
      </c>
      <c r="E41" s="1">
        <v>51.4</v>
      </c>
    </row>
    <row r="42" spans="1:5" x14ac:dyDescent="0.35">
      <c r="A42" s="1" t="str">
        <f>GDP_Growth!B42</f>
        <v>2025Q1</v>
      </c>
      <c r="B42" s="5">
        <v>5.0999999999999996</v>
      </c>
      <c r="C42" s="6">
        <v>15.19</v>
      </c>
      <c r="D42" s="5">
        <v>68.100243290922904</v>
      </c>
      <c r="E42" s="1">
        <v>51.1</v>
      </c>
    </row>
    <row r="43" spans="1:5" x14ac:dyDescent="0.35">
      <c r="A43" s="1" t="str">
        <f>GDP_Growth!B43</f>
        <v>2025Q2</v>
      </c>
      <c r="B43" s="7">
        <v>5.3</v>
      </c>
      <c r="C43" s="8">
        <v>15.2</v>
      </c>
      <c r="D43" s="9"/>
      <c r="E43" s="1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4.5"/>
  <cols>
    <col min="1" max="1" width="24" customWidth="1"/>
    <col min="2" max="2" width="40" customWidth="1"/>
    <col min="3" max="3" width="24" customWidth="1"/>
    <col min="4" max="4" width="38" customWidth="1"/>
    <col min="5" max="5" width="48" customWidth="1"/>
  </cols>
  <sheetData>
    <row r="1">
      <c r="A1" s="12" t="inlineStr">
        <is>
          <t xml:space="preserve">Do central bank wins translate to household wins? Data workbook</t>
        </is>
      </c>
    </row>
    <row r="2" ht="18" customHeight="1">
      <c r="A2" s="13" t="inlineStr">
        <is>
          <t xml:space="preserve">Ben Coppage. Companion data for the brief at https://bcoppage-ic.github.io/Portfolio/brief.html</t>
        </is>
      </c>
    </row>
    <row r="3"/>
    <row r="4">
      <c r="A4" s="11" t="inlineStr">
        <is>
          <t xml:space="preserve">Tab</t>
        </is>
      </c>
      <c r="B4" s="11" t="inlineStr">
        <is>
          <t xml:space="preserve">Contents</t>
        </is>
      </c>
      <c r="C4" s="11" t="inlineStr">
        <is>
          <t xml:space="preserve">Frequency and range</t>
        </is>
      </c>
      <c r="D4" s="11" t="inlineStr">
        <is>
          <t xml:space="preserve">Source</t>
        </is>
      </c>
      <c r="E4" s="11" t="inlineStr">
        <is>
          <t xml:space="preserve">Notes</t>
        </is>
      </c>
    </row>
    <row r="5">
      <c r="A5" s="13" t="inlineStr">
        <is>
          <t xml:space="preserve">Inflation</t>
        </is>
      </c>
      <c r="B5" s="13" t="inlineStr">
        <is>
          <t xml:space="preserve">U.S. CPI and Euro Area HICP inflation, year-over-year %, with a 2% target line</t>
        </is>
      </c>
      <c r="C5" s="13" t="inlineStr">
        <is>
          <t xml:space="preserve">Monthly, Jan 2015 to Aug 2025</t>
        </is>
      </c>
      <c r="D5" s="13" t="inlineStr">
        <is>
          <t xml:space="preserve">U.S.: BLS CPI via FRED. Euro Area: Eurostat HICP.</t>
        </is>
      </c>
      <c r="E5" s="13" t="inlineStr">
        <is>
          <t xml:space="preserve">U.S. peak in this series is 9.0% (June 2022). BLS reports the headline peak as 9.1%.</t>
        </is>
      </c>
    </row>
    <row r="6">
      <c r="A6" s="13" t="inlineStr">
        <is>
          <t xml:space="preserve">GDP_Growth</t>
        </is>
      </c>
      <c r="B6" s="13" t="inlineStr">
        <is>
          <t xml:space="preserve">Real GDP growth, year-over-year %</t>
        </is>
      </c>
      <c r="C6" s="13" t="inlineStr">
        <is>
          <t xml:space="preserve">Quarterly, 2015 Q1 to 2025 Q2</t>
        </is>
      </c>
      <c r="D6" s="13" t="inlineStr">
        <is>
          <t xml:space="preserve">U.S.: BEA via FRED. Euro Area: Eurostat.</t>
        </is>
      </c>
      <c r="E6" s="13" t="inlineStr">
        <is>
          <t xml:space="preserve">Holds the GDP chart (2023 Q1 to 2025 Q2).</t>
        </is>
      </c>
    </row>
    <row r="7">
      <c r="A7" s="13" t="inlineStr">
        <is>
          <t xml:space="preserve">Saving_Rate</t>
        </is>
      </c>
      <c r="B7" s="13" t="inlineStr">
        <is>
          <t xml:space="preserve">Household saving rate, % of disposable income</t>
        </is>
      </c>
      <c r="C7" s="13" t="inlineStr">
        <is>
          <t xml:space="preserve">Quarterly, 2015 Q1 to 2025 Q2</t>
        </is>
      </c>
      <c r="D7" s="13" t="inlineStr">
        <is>
          <t xml:space="preserve">U.S.: BEA personal saving rate via FRED. Euro Area: Eurostat household saving rate.</t>
        </is>
      </c>
      <c r="E7" s="13" t="inlineStr">
        <is>
          <t xml:space="preserve">The U.S. rate is net and the Euro Area rate is gross, so levels are not strictly comparable.</t>
        </is>
      </c>
    </row>
    <row r="8">
      <c r="A8" s="13" t="inlineStr">
        <is>
          <t xml:space="preserve">Household_Debt</t>
        </is>
      </c>
      <c r="B8" s="13" t="inlineStr">
        <is>
          <t xml:space="preserve">Household debt, % of GDP</t>
        </is>
      </c>
      <c r="C8" s="13" t="inlineStr">
        <is>
          <t xml:space="preserve">Quarterly, 2015 Q1 to 2025 Q1</t>
        </is>
      </c>
      <c r="D8" s="13" t="inlineStr">
        <is>
          <t xml:space="preserve">Bank for International Settlements (BIS).</t>
        </is>
      </c>
      <c r="E8" s="13" t="inlineStr">
        <is>
          <t xml:space="preserve"/>
        </is>
      </c>
    </row>
    <row r="9">
      <c r="A9" s="13" t="inlineStr">
        <is>
          <t xml:space="preserve">Policy_Rates</t>
        </is>
      </c>
      <c r="B9" s="13" t="inlineStr">
        <is>
          <t xml:space="preserve">Effective federal funds rate and ECB main refinancing rate, % (not lagged)</t>
        </is>
      </c>
      <c r="C9" s="13" t="inlineStr">
        <is>
          <t xml:space="preserve">Monthly, Jan 2014 to Aug 2024</t>
        </is>
      </c>
      <c r="D9" s="13" t="inlineStr">
        <is>
          <t xml:space="preserve">FRED series FEDFUNDS and ECBMRRFR.</t>
        </is>
      </c>
      <c r="E9" s="13" t="inlineStr">
        <is>
          <t xml:space="preserve">Ends Aug 2024. Does not include the rate cuts that followed.</t>
        </is>
      </c>
    </row>
    <row r="10">
      <c r="A10" s="13" t="inlineStr">
        <is>
          <t xml:space="preserve">Unemployment</t>
        </is>
      </c>
      <c r="B10" s="13" t="inlineStr">
        <is>
          <t xml:space="preserve">Unemployment rate, %</t>
        </is>
      </c>
      <c r="C10" s="13" t="inlineStr">
        <is>
          <t xml:space="preserve">Monthly, Jan 2015 to Aug 2025</t>
        </is>
      </c>
      <c r="D10" s="13" t="inlineStr">
        <is>
          <t xml:space="preserve">U.S.: BLS via FRED. Euro Area: Eurostat.</t>
        </is>
      </c>
      <c r="E10" s="13" t="inlineStr">
        <is>
          <t xml:space="preserve">Holds the unemployment chart and the Phillips curve (2023 to 2025).</t>
        </is>
      </c>
    </row>
    <row r="11">
      <c r="A11" s="13" t="inlineStr">
        <is>
          <t xml:space="preserve">Rates_Inflation_Lagged</t>
        </is>
      </c>
      <c r="B11" s="13" t="inlineStr">
        <is>
          <t xml:space="preserve">Policy rates lagged 12 months next to inflation. Data for Exhibit 1.</t>
        </is>
      </c>
      <c r="C11" s="13" t="inlineStr">
        <is>
          <t xml:space="preserve">Monthly, Jan 2015 to Aug 2025</t>
        </is>
      </c>
      <c r="D11" s="13" t="inlineStr">
        <is>
          <t xml:space="preserve">Built from Policy_Rates and Inflation.</t>
        </is>
      </c>
      <c r="E11" s="13" t="inlineStr">
        <is>
          <t xml:space="preserve">Each rate cell is a formula that pulls the Policy_Rates value from 12 months earlier. Example: Jan 2015 shows the Jan 2014 rate.</t>
        </is>
      </c>
    </row>
    <row r="12">
      <c r="A12" s="13" t="inlineStr">
        <is>
          <t xml:space="preserve">Household_Panel</t>
        </is>
      </c>
      <c r="B12" s="13" t="inlineStr">
        <is>
          <t xml:space="preserve">Saving rates and debt-to-GDP side by side. Data for Exhibit 3.</t>
        </is>
      </c>
      <c r="C12" s="13" t="inlineStr">
        <is>
          <t xml:space="preserve">Quarterly, 2015 Q1 to 2025 Q2</t>
        </is>
      </c>
      <c r="D12" s="13" t="inlineStr">
        <is>
          <t xml:space="preserve">Built from Saving_Rate and Household_Debt.</t>
        </is>
      </c>
      <c r="E12" s="13" t="inlineStr">
        <is>
          <t xml:space="preserve">Debt for 2025 Q2 was not yet published.</t>
        </is>
      </c>
    </row>
    <row r="13"/>
    <row r="14">
      <c r="A14" s="11" t="inlineStr">
        <is>
          <t xml:space="preserve">Why a 12-month lag</t>
        </is>
      </c>
    </row>
    <row r="15" ht="45" customHeight="1">
      <c r="A15" s="13" t="inlineStr">
        <is>
          <t xml:space="preserve">Rate changes act on prices with a delay (Friedman, 1961). A meta-analysis puts the average lag to the peak effect on prices at 29 months (Havranek and Rusnak, 2013). This workbook uses 12 months, a conservative choice at the short end of that range.</t>
        </is>
      </c>
    </row>
    <row r="16"/>
    <row r="17">
      <c r="A17" s="11" t="inlineStr">
        <is>
          <t xml:space="preserve">References</t>
        </is>
      </c>
    </row>
    <row r="18" ht="18" customHeight="1">
      <c r="A18" s="13" t="inlineStr">
        <is>
          <t xml:space="preserve">Friedman, M. (1961). The lag in effect of monetary policy. Journal of Political Economy, 69(5), 447-466.</t>
        </is>
      </c>
    </row>
    <row r="19" ht="18" customHeight="1">
      <c r="A19" s="13" t="inlineStr">
        <is>
          <t xml:space="preserve">Havranek, T., and Rusnak, M. (2013). Transmission lags of monetary policy: A meta-analysis. International Journal of Central Banking, 9(4), 39-76.</t>
        </is>
      </c>
    </row>
  </sheetData>
  <mergeCells count="4">
    <mergeCell ref="A2:E2"/>
    <mergeCell ref="A15:E15"/>
    <mergeCell ref="A18:E18"/>
    <mergeCell ref="A19:E1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Inflation</vt:lpstr>
      <vt:lpstr>GDP_Growth</vt:lpstr>
      <vt:lpstr>Saving_Rate</vt:lpstr>
      <vt:lpstr>Household_Debt</vt:lpstr>
      <vt:lpstr>Policy_Rates</vt:lpstr>
      <vt:lpstr>Unemployment</vt:lpstr>
      <vt:lpstr>Rates_Inflation_Lagged</vt:lpstr>
      <vt:lpstr>Household_Panel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Coppage</dc:creator>
  <cp:lastModifiedBy>Ben Coppage</cp:lastModifiedBy>
  <dcterms:created xsi:type="dcterms:W3CDTF">2025-10-15T18:43:51Z</dcterms:created>
  <dcterms:modified xsi:type="dcterms:W3CDTF">2025-10-19T11:33:45Z</dcterms:modified>
</cp:coreProperties>
</file>